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and_model_rules" sheetId="1" state="visible" r:id="rId1"/>
    <sheet xmlns:r="http://schemas.openxmlformats.org/officeDocument/2006/relationships" name="01_source_log" sheetId="2" state="visible" r:id="rId2"/>
    <sheet xmlns:r="http://schemas.openxmlformats.org/officeDocument/2006/relationships" name="02_assumption_register" sheetId="3" state="visible" r:id="rId3"/>
    <sheet xmlns:r="http://schemas.openxmlformats.org/officeDocument/2006/relationships" name="03_stanley_baseline" sheetId="4" state="visible" r:id="rId4"/>
    <sheet xmlns:r="http://schemas.openxmlformats.org/officeDocument/2006/relationships" name="04_option_2_revenue_build" sheetId="5" state="visible" r:id="rId5"/>
    <sheet xmlns:r="http://schemas.openxmlformats.org/officeDocument/2006/relationships" name="05_option_2_cost_build" sheetId="6" state="visible" r:id="rId6"/>
    <sheet xmlns:r="http://schemas.openxmlformats.org/officeDocument/2006/relationships" name="06_option_2_5yr_pnl" sheetId="7" state="visible" r:id="rId7"/>
    <sheet xmlns:r="http://schemas.openxmlformats.org/officeDocument/2006/relationships" name="07_option_1_light_case" sheetId="8" state="visible" r:id="rId8"/>
    <sheet xmlns:r="http://schemas.openxmlformats.org/officeDocument/2006/relationships" name="08_option_3_light_case" sheetId="9" state="visible" r:id="rId9"/>
    <sheet xmlns:r="http://schemas.openxmlformats.org/officeDocument/2006/relationships" name="09_scenarios_and_sensitivity" sheetId="10" state="visible" r:id="rId10"/>
    <sheet xmlns:r="http://schemas.openxmlformats.org/officeDocument/2006/relationships" name="10_judge_output_tables" sheetId="11" state="visible" r:id="rId11"/>
    <sheet xmlns:r="http://schemas.openxmlformats.org/officeDocument/2006/relationships" name="11_qr_html_export_tables" sheetId="12" state="visible" r:id="rId12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0.0"/>
  </numFmts>
  <fonts count="5">
    <font>
      <name val="Calibri"/>
      <family val="2"/>
      <color theme="1"/>
      <sz val="11"/>
      <scheme val="minor"/>
    </font>
    <font>
      <name val="Aptos"/>
      <b val="1"/>
      <color rgb="00111111"/>
      <sz val="10"/>
    </font>
    <font>
      <name val="Aptos"/>
      <b val="1"/>
      <color rgb="00FFFFFF"/>
      <sz val="14"/>
    </font>
    <font>
      <name val="Aptos"/>
      <color rgb="00111111"/>
      <sz val="10"/>
    </font>
    <font>
      <name val="Aptos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2F6DA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C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5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3" fontId="3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6" fontId="3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7" fontId="1" fillId="7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Stanley 1913 Financial Model</t>
        </is>
      </c>
    </row>
    <row r="2">
      <c r="A2" s="2" t="inlineStr">
        <is>
          <t>Judge-defensible finance system | v01 | 2026-04-07</t>
        </is>
      </c>
    </row>
    <row r="4">
      <c r="A4" s="3" t="inlineStr">
        <is>
          <t>Purpose</t>
        </is>
      </c>
      <c r="B4" s="4" t="inlineStr">
        <is>
          <t>This workbook supports Option 2 deep modeling, Option 1/3 light cases, scenario outputs, and judge-facing finance tables.</t>
        </is>
      </c>
    </row>
    <row r="5">
      <c r="A5" s="3" t="inlineStr">
        <is>
          <t>Model philosophy</t>
        </is>
      </c>
      <c r="B5" s="4" t="inlineStr">
        <is>
          <t>Use consulting-case logic first: revenue, margin, investment, payback, scenario, and risk.</t>
        </is>
      </c>
    </row>
    <row r="6">
      <c r="A6" s="3" t="inlineStr">
        <is>
          <t>Color legend</t>
        </is>
      </c>
      <c r="B6" s="4" t="inlineStr">
        <is>
          <t>Green = hard_fact | Yellow = derived_estimate | Orange = assumption</t>
        </is>
      </c>
    </row>
    <row r="7">
      <c r="A7" s="3" t="inlineStr">
        <is>
          <t>Update rule</t>
        </is>
      </c>
      <c r="B7" s="4" t="inlineStr">
        <is>
          <t>If core inputs change materially, rerun 04_generate_finance_model_assets_v01.py to refresh scenario outputs and HTML appendix.</t>
        </is>
      </c>
    </row>
    <row r="8">
      <c r="A8" s="3" t="inlineStr">
        <is>
          <t>Presentation rule</t>
        </is>
      </c>
      <c r="B8" s="4" t="inlineStr">
        <is>
          <t>Slides should use static conclusion tables. HTML appendix is supplemental and not required for the story to work.</t>
        </is>
      </c>
    </row>
    <row r="9">
      <c r="A9" s="3" t="inlineStr">
        <is>
          <t>Current recommendation</t>
        </is>
      </c>
      <c r="B9" s="4" t="inlineStr">
        <is>
          <t>Option 2 remains the strongest risk-adjusted finance case.</t>
        </is>
      </c>
    </row>
    <row r="11">
      <c r="A11" s="5" t="inlineStr">
        <is>
          <t>Class</t>
        </is>
      </c>
      <c r="B11" s="5" t="inlineStr">
        <is>
          <t>Meaning</t>
        </is>
      </c>
      <c r="C11" s="5" t="inlineStr">
        <is>
          <t>How to use</t>
        </is>
      </c>
    </row>
    <row r="12">
      <c r="A12" s="6" t="inlineStr">
        <is>
          <t>hard_fact</t>
        </is>
      </c>
      <c r="B12" s="7" t="inlineStr">
        <is>
          <t>Directly disclosed by official company, government, SEC, or case exhibit</t>
        </is>
      </c>
      <c r="C12" s="7" t="inlineStr">
        <is>
          <t>Use directly in slides and backup</t>
        </is>
      </c>
    </row>
    <row r="13">
      <c r="A13" s="8" t="inlineStr">
        <is>
          <t>derived_estimate</t>
        </is>
      </c>
      <c r="B13" s="7" t="inlineStr">
        <is>
          <t>Quantitative estimate triangulated from comparables or price architecture</t>
        </is>
      </c>
      <c r="C13" s="7" t="inlineStr">
        <is>
          <t>Use with source note and logic line</t>
        </is>
      </c>
    </row>
    <row r="14">
      <c r="A14" s="9" t="inlineStr">
        <is>
          <t>assumption</t>
        </is>
      </c>
      <c r="B14" s="7" t="inlineStr">
        <is>
          <t>Management assumption required for forecasting</t>
        </is>
      </c>
      <c r="C14" s="7" t="inlineStr">
        <is>
          <t>Show explicitly and stress-test</t>
        </is>
      </c>
    </row>
  </sheetData>
  <mergeCells count="11">
    <mergeCell ref="B9:I9"/>
    <mergeCell ref="C14:I14"/>
    <mergeCell ref="C13:I13"/>
    <mergeCell ref="A2:I2"/>
    <mergeCell ref="B7:I7"/>
    <mergeCell ref="B6:I6"/>
    <mergeCell ref="A1:I1"/>
    <mergeCell ref="C12:I12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Finance Source Log</t>
        </is>
      </c>
    </row>
    <row r="2">
      <c r="A2" s="2" t="inlineStr">
        <is>
          <t>Only sources used directly in the finance model and appendix</t>
        </is>
      </c>
    </row>
    <row r="4">
      <c r="A4" s="5" t="inlineStr">
        <is>
          <t>source_id</t>
        </is>
      </c>
      <c r="B4" s="5" t="inlineStr">
        <is>
          <t>title</t>
        </is>
      </c>
      <c r="C4" s="5" t="inlineStr">
        <is>
          <t>publisher</t>
        </is>
      </c>
      <c r="D4" s="5" t="inlineStr">
        <is>
          <t>type</t>
        </is>
      </c>
      <c r="E4" s="5" t="inlineStr">
        <is>
          <t>metric</t>
        </is>
      </c>
      <c r="F4" s="5" t="inlineStr">
        <is>
          <t>quant_label</t>
        </is>
      </c>
      <c r="G4" s="5" t="inlineStr">
        <is>
          <t>how_used</t>
        </is>
      </c>
      <c r="H4" s="5" t="inlineStr">
        <is>
          <t>url_or_path</t>
        </is>
      </c>
      <c r="I4" s="5" t="inlineStr">
        <is>
          <t>reliability</t>
        </is>
      </c>
    </row>
    <row r="5">
      <c r="A5" s="7" t="inlineStr">
        <is>
          <t>LC01</t>
        </is>
      </c>
      <c r="B5" s="7" t="inlineStr">
        <is>
          <t>MOSAIC Case Competition 2025-26 Case</t>
        </is>
      </c>
      <c r="C5" s="7" t="inlineStr">
        <is>
          <t>UW Foster MOSAIC</t>
        </is>
      </c>
      <c r="D5" s="7" t="inlineStr">
        <is>
          <t>local_case_pdf</t>
        </is>
      </c>
      <c r="E5" s="7" t="inlineStr">
        <is>
          <t>case_requirements</t>
        </is>
      </c>
      <c r="F5" s="7" t="inlineStr">
        <is>
          <t>n_a</t>
        </is>
      </c>
      <c r="G5" s="7" t="inlineStr">
        <is>
          <t>main case framing</t>
        </is>
      </c>
      <c r="H5" s="7" t="inlineStr">
        <is>
          <t>/Users/zhangziling/Documents/MSIS/Case comp_MOSAIC 2026/Case Competiton/MOSAIC Case Competition 2025-26 Case .pdf</t>
        </is>
      </c>
      <c r="I5" s="7" t="inlineStr">
        <is>
          <t>tier_1</t>
        </is>
      </c>
    </row>
    <row r="6">
      <c r="A6" s="7" t="inlineStr">
        <is>
          <t>LC02</t>
        </is>
      </c>
      <c r="B6" s="7" t="inlineStr">
        <is>
          <t>MCC 2025-26 Graduate Charge</t>
        </is>
      </c>
      <c r="C6" s="7" t="inlineStr">
        <is>
          <t>UW Foster MOSAIC</t>
        </is>
      </c>
      <c r="D6" s="7" t="inlineStr">
        <is>
          <t>local_case_pdf</t>
        </is>
      </c>
      <c r="E6" s="7" t="inlineStr">
        <is>
          <t>delivery_requirements</t>
        </is>
      </c>
      <c r="F6" s="7" t="inlineStr">
        <is>
          <t>n_a</t>
        </is>
      </c>
      <c r="G6" s="7" t="inlineStr">
        <is>
          <t>requirement matrix</t>
        </is>
      </c>
      <c r="H6" s="7" t="inlineStr">
        <is>
          <t>/Users/zhangziling/Documents/MSIS/Case comp_MOSAIC 2026/Case Competiton/MCC 2025-26 Graduate Charge.pdf</t>
        </is>
      </c>
      <c r="I6" s="7" t="inlineStr">
        <is>
          <t>tier_1</t>
        </is>
      </c>
    </row>
    <row r="7">
      <c r="A7" s="7" t="inlineStr">
        <is>
          <t>LC08</t>
        </is>
      </c>
      <c r="B7" s="7" t="inlineStr">
        <is>
          <t>MOSAIC 2026 48H Battle Checklist</t>
        </is>
      </c>
      <c r="C7" s="7" t="inlineStr">
        <is>
          <t>local_preparation_doc</t>
        </is>
      </c>
      <c r="D7" s="7" t="inlineStr">
        <is>
          <t>local_docx</t>
        </is>
      </c>
      <c r="E7" s="7" t="inlineStr">
        <is>
          <t>case_execution</t>
        </is>
      </c>
      <c r="F7" s="7" t="inlineStr">
        <is>
          <t>n_a</t>
        </is>
      </c>
      <c r="G7" s="7" t="inlineStr">
        <is>
          <t>internal readout</t>
        </is>
      </c>
      <c r="H7" s="7" t="inlineStr">
        <is>
          <t>/Users/zhangziling/Documents/MSIS/Case comp_MOSAIC 2026/MOSAIC_2026_48H_Battle_Checklist.docx</t>
        </is>
      </c>
      <c r="I7" s="7" t="inlineStr">
        <is>
          <t>tier_2</t>
        </is>
      </c>
    </row>
    <row r="8">
      <c r="A8" s="7" t="inlineStr">
        <is>
          <t>LC09</t>
        </is>
      </c>
      <c r="B8" s="7" t="inlineStr">
        <is>
          <t>Stanley 1913 Case Sources Industry Report and Option Analysis EN</t>
        </is>
      </c>
      <c r="C8" s="7" t="inlineStr">
        <is>
          <t>local_research_doc</t>
        </is>
      </c>
      <c r="D8" s="7" t="inlineStr">
        <is>
          <t>local_docx</t>
        </is>
      </c>
      <c r="E8" s="7" t="inlineStr">
        <is>
          <t>option_ranking</t>
        </is>
      </c>
      <c r="F8" s="7" t="inlineStr">
        <is>
          <t>n_a</t>
        </is>
      </c>
      <c r="G8" s="7" t="inlineStr">
        <is>
          <t>baseline synthesis</t>
        </is>
      </c>
      <c r="H8" s="7" t="inlineStr">
        <is>
          <t>/Users/zhangziling/Documents/MSIS/Case comp_MOSAIC 2026/Stanley_1913_Case_Sources_Industry_Report_and_Option_Analysis.docx</t>
        </is>
      </c>
      <c r="I8" s="7" t="inlineStr">
        <is>
          <t>tier_2</t>
        </is>
      </c>
    </row>
    <row r="9">
      <c r="A9" s="7" t="inlineStr">
        <is>
          <t>LC10</t>
        </is>
      </c>
      <c r="B9" s="7" t="inlineStr">
        <is>
          <t>Stanley 1913 Case Sources Industry Report and Option Analysis CN</t>
        </is>
      </c>
      <c r="C9" s="7" t="inlineStr">
        <is>
          <t>local_research_doc</t>
        </is>
      </c>
      <c r="D9" s="7" t="inlineStr">
        <is>
          <t>local_docx</t>
        </is>
      </c>
      <c r="E9" s="7" t="inlineStr">
        <is>
          <t>option_ranking</t>
        </is>
      </c>
      <c r="F9" s="7" t="inlineStr">
        <is>
          <t>n_a</t>
        </is>
      </c>
      <c r="G9" s="7" t="inlineStr">
        <is>
          <t>baseline synthesis</t>
        </is>
      </c>
      <c r="H9" s="7" t="inlineStr">
        <is>
          <t>/Users/zhangziling/Documents/MSIS/Case comp_MOSAIC 2026/Stanley_1913_Case_Sources_Industry_Report_and_Option_Analysis_CN.docx</t>
        </is>
      </c>
      <c r="I9" s="7" t="inlineStr">
        <is>
          <t>tier_2</t>
        </is>
      </c>
    </row>
    <row r="10">
      <c r="A10" s="7" t="inlineStr">
        <is>
          <t>SC04</t>
        </is>
      </c>
      <c r="B10" s="7" t="inlineStr">
        <is>
          <t>Vitalize Collection Launch</t>
        </is>
      </c>
      <c r="C10" s="7" t="inlineStr">
        <is>
          <t>Stanley 1913</t>
        </is>
      </c>
      <c r="D10" s="7" t="inlineStr">
        <is>
          <t>official_company_news</t>
        </is>
      </c>
      <c r="E10" s="7" t="inlineStr">
        <is>
          <t>category_expansion</t>
        </is>
      </c>
      <c r="F10" s="7" t="inlineStr">
        <is>
          <t>n_a</t>
        </is>
      </c>
      <c r="G10" s="7" t="inlineStr">
        <is>
          <t>adjacency proof</t>
        </is>
      </c>
      <c r="H10" s="7" t="inlineStr">
        <is>
          <t>https://www.stanley1913.com/blogs/stanley-1913-newsroom/the-stanley-1913-brand-launches-new-vitalize%E2%84%A2-collection-featuring-totes-and-backpacks</t>
        </is>
      </c>
      <c r="I10" s="7" t="inlineStr">
        <is>
          <t>tier_1</t>
        </is>
      </c>
    </row>
    <row r="11">
      <c r="A11" s="7" t="inlineStr">
        <is>
          <t>SC05</t>
        </is>
      </c>
      <c r="B11" s="7" t="inlineStr">
        <is>
          <t>Adventure To-Go Food Jar 12 oz</t>
        </is>
      </c>
      <c r="C11" s="7" t="inlineStr">
        <is>
          <t>Stanley 1913</t>
        </is>
      </c>
      <c r="D11" s="7" t="inlineStr">
        <is>
          <t>official_product_page</t>
        </is>
      </c>
      <c r="E11" s="7" t="inlineStr">
        <is>
          <t>product_assortment</t>
        </is>
      </c>
      <c r="F11" s="7" t="inlineStr">
        <is>
          <t>n_a</t>
        </is>
      </c>
      <c r="G11" s="7" t="inlineStr">
        <is>
          <t>product adjacency</t>
        </is>
      </c>
      <c r="H11" s="7" t="inlineStr">
        <is>
          <t>https://www.stanley1913.com/products/adventure-to-go-food-jar-12-oz</t>
        </is>
      </c>
      <c r="I11" s="7" t="inlineStr">
        <is>
          <t>tier_1</t>
        </is>
      </c>
    </row>
    <row r="12">
      <c r="A12" s="7" t="inlineStr">
        <is>
          <t>SC06</t>
        </is>
      </c>
      <c r="B12" s="7" t="inlineStr">
        <is>
          <t>All Day Mini Lunch Box</t>
        </is>
      </c>
      <c r="C12" s="7" t="inlineStr">
        <is>
          <t>Stanley 1913</t>
        </is>
      </c>
      <c r="D12" s="7" t="inlineStr">
        <is>
          <t>official_product_page</t>
        </is>
      </c>
      <c r="E12" s="7" t="inlineStr">
        <is>
          <t>price_and_assortment</t>
        </is>
      </c>
      <c r="F12" s="7" t="inlineStr">
        <is>
          <t>45_usd</t>
        </is>
      </c>
      <c r="G12" s="7" t="inlineStr">
        <is>
          <t>pricing benchmark</t>
        </is>
      </c>
      <c r="H12" s="7" t="inlineStr">
        <is>
          <t>https://www.stanley1913.com/products/midi-mini-lunch-boxes-4-qt</t>
        </is>
      </c>
      <c r="I12" s="7" t="inlineStr">
        <is>
          <t>tier_1</t>
        </is>
      </c>
    </row>
    <row r="13">
      <c r="A13" s="7" t="inlineStr">
        <is>
          <t>SC09</t>
        </is>
      </c>
      <c r="B13" s="7" t="inlineStr">
        <is>
          <t>Quencher 40 oz official search signal</t>
        </is>
      </c>
      <c r="C13" s="7" t="inlineStr">
        <is>
          <t>Stanley 1913</t>
        </is>
      </c>
      <c r="D13" s="7" t="inlineStr">
        <is>
          <t>official_product_search_result</t>
        </is>
      </c>
      <c r="E13" s="7" t="inlineStr">
        <is>
          <t>price_point</t>
        </is>
      </c>
      <c r="F13" s="7" t="inlineStr">
        <is>
          <t>45_usd</t>
        </is>
      </c>
      <c r="G13" s="7" t="inlineStr">
        <is>
          <t>pricing benchmark</t>
        </is>
      </c>
      <c r="H13" s="7" t="inlineStr">
        <is>
          <t>https://www.stanley1913.com/products/the-new-frequency-quencher-h20-flowstate-tumbler-40-oz?bvstate=pg%3A164%2Fct%3Ar&amp;variant=44560341139583</t>
        </is>
      </c>
      <c r="I13" s="7" t="inlineStr">
        <is>
          <t>tier_2</t>
        </is>
      </c>
    </row>
    <row r="14">
      <c r="A14" s="7" t="inlineStr">
        <is>
          <t>SC10</t>
        </is>
      </c>
      <c r="B14" s="7" t="inlineStr">
        <is>
          <t>Artisan Thermal Food Jar 27 oz official search signal</t>
        </is>
      </c>
      <c r="C14" s="7" t="inlineStr">
        <is>
          <t>Stanley 1913</t>
        </is>
      </c>
      <c r="D14" s="7" t="inlineStr">
        <is>
          <t>official_product_search_result</t>
        </is>
      </c>
      <c r="E14" s="7" t="inlineStr">
        <is>
          <t>price_point</t>
        </is>
      </c>
      <c r="F14" s="7" t="inlineStr">
        <is>
          <t>35_usd</t>
        </is>
      </c>
      <c r="G14" s="7" t="inlineStr">
        <is>
          <t>pricing benchmark</t>
        </is>
      </c>
      <c r="H14" s="7" t="inlineStr">
        <is>
          <t>https://www.stanley1913.com/products/artisan-thermal-food-jar-27-oz?bvstate=pg%3A2%2Fct%3Ar</t>
        </is>
      </c>
      <c r="I14" s="7" t="inlineStr">
        <is>
          <t>tier_2</t>
        </is>
      </c>
    </row>
    <row r="15">
      <c r="A15" s="7" t="inlineStr">
        <is>
          <t>SC11</t>
        </is>
      </c>
      <c r="B15" s="7" t="inlineStr">
        <is>
          <t>Hydro Flask Lunch Boxes</t>
        </is>
      </c>
      <c r="C15" s="7" t="inlineStr">
        <is>
          <t>Hydro Flask</t>
        </is>
      </c>
      <c r="D15" s="7" t="inlineStr">
        <is>
          <t>official_product_page</t>
        </is>
      </c>
      <c r="E15" s="7" t="inlineStr">
        <is>
          <t>price_ladder</t>
        </is>
      </c>
      <c r="F15" s="7" t="inlineStr">
        <is>
          <t>39_95_and_59_95</t>
        </is>
      </c>
      <c r="G15" s="7" t="inlineStr">
        <is>
          <t>peer price ladder</t>
        </is>
      </c>
      <c r="H15" s="7" t="inlineStr">
        <is>
          <t>https://www.hydroflask.com/shop/coolers/lunch-boxes</t>
        </is>
      </c>
      <c r="I15" s="7" t="inlineStr">
        <is>
          <t>tier_1</t>
        </is>
      </c>
    </row>
    <row r="16">
      <c r="A16" s="7" t="inlineStr">
        <is>
          <t>SC12</t>
        </is>
      </c>
      <c r="B16" s="7" t="inlineStr">
        <is>
          <t>YETI 16 oz Insulated Food Jar</t>
        </is>
      </c>
      <c r="C16" s="7" t="inlineStr">
        <is>
          <t>YETI</t>
        </is>
      </c>
      <c r="D16" s="7" t="inlineStr">
        <is>
          <t>official_product_page</t>
        </is>
      </c>
      <c r="E16" s="7" t="inlineStr">
        <is>
          <t>price_ladder</t>
        </is>
      </c>
      <c r="F16" s="7" t="inlineStr">
        <is>
          <t>45_35_80</t>
        </is>
      </c>
      <c r="G16" s="7" t="inlineStr">
        <is>
          <t>peer price ladder and sku breadth</t>
        </is>
      </c>
      <c r="H16" s="7" t="inlineStr">
        <is>
          <t>https://www.yeti.com/kitchen/food-containers/food-jar-16oz.html</t>
        </is>
      </c>
      <c r="I16" s="7" t="inlineStr">
        <is>
          <t>tier_1</t>
        </is>
      </c>
    </row>
    <row r="17">
      <c r="A17" s="7" t="inlineStr">
        <is>
          <t>SC13</t>
        </is>
      </c>
      <c r="B17" s="7" t="inlineStr">
        <is>
          <t>Bentgo Kids Stainless Steel Lunch Box</t>
        </is>
      </c>
      <c r="C17" s="7" t="inlineStr">
        <is>
          <t>Bentgo</t>
        </is>
      </c>
      <c r="D17" s="7" t="inlineStr">
        <is>
          <t>official_product_page</t>
        </is>
      </c>
      <c r="E17" s="7" t="inlineStr">
        <is>
          <t>price_ladder</t>
        </is>
      </c>
      <c r="F17" s="7" t="inlineStr">
        <is>
          <t>49_99</t>
        </is>
      </c>
      <c r="G17" s="7" t="inlineStr">
        <is>
          <t>peer price ladder</t>
        </is>
      </c>
      <c r="H17" s="7" t="inlineStr">
        <is>
          <t>https://bentgo.com/products/bentgo-kids-stainless-steel-lunch-box</t>
        </is>
      </c>
      <c r="I17" s="7" t="inlineStr">
        <is>
          <t>tier_1</t>
        </is>
      </c>
    </row>
    <row r="18">
      <c r="A18" s="7" t="inlineStr">
        <is>
          <t>SC14</t>
        </is>
      </c>
      <c r="B18" s="7" t="inlineStr">
        <is>
          <t>Bentgo Insulated Lunch Bag</t>
        </is>
      </c>
      <c r="C18" s="7" t="inlineStr">
        <is>
          <t>Bentgo</t>
        </is>
      </c>
      <c r="D18" s="7" t="inlineStr">
        <is>
          <t>official_product_page</t>
        </is>
      </c>
      <c r="E18" s="7" t="inlineStr">
        <is>
          <t>price_ladder</t>
        </is>
      </c>
      <c r="F18" s="7" t="inlineStr">
        <is>
          <t>34_99</t>
        </is>
      </c>
      <c r="G18" s="7" t="inlineStr">
        <is>
          <t>peer price ladder</t>
        </is>
      </c>
      <c r="H18" s="7" t="inlineStr">
        <is>
          <t>https://bentgo.com/products/bentgo-insulated-lunch-bag</t>
        </is>
      </c>
      <c r="I18" s="7" t="inlineStr">
        <is>
          <t>tier_1</t>
        </is>
      </c>
    </row>
    <row r="19">
      <c r="A19" s="7" t="inlineStr">
        <is>
          <t>SC15</t>
        </is>
      </c>
      <c r="B19" s="7" t="inlineStr">
        <is>
          <t>Classic Lunch Box 10 QT</t>
        </is>
      </c>
      <c r="C19" s="7" t="inlineStr">
        <is>
          <t>Stanley 1913</t>
        </is>
      </c>
      <c r="D19" s="7" t="inlineStr">
        <is>
          <t>official_product_page</t>
        </is>
      </c>
      <c r="E19" s="7" t="inlineStr">
        <is>
          <t>platform_compatibility</t>
        </is>
      </c>
      <c r="F19" s="7" t="inlineStr">
        <is>
          <t>bottle_mug_food_jar_fit</t>
        </is>
      </c>
      <c r="G19" s="7" t="inlineStr">
        <is>
          <t>platform breadth and bundle logic</t>
        </is>
      </c>
      <c r="H19" s="7" t="inlineStr">
        <is>
          <t>https://www.stanley1913.com/products/classic-lunch-box</t>
        </is>
      </c>
      <c r="I19" s="7" t="inlineStr">
        <is>
          <t>tier_1</t>
        </is>
      </c>
    </row>
    <row r="20">
      <c r="A20" s="7" t="inlineStr">
        <is>
          <t>SC16</t>
        </is>
      </c>
      <c r="B20" s="7" t="inlineStr">
        <is>
          <t>Classic Legendary Useful Box</t>
        </is>
      </c>
      <c r="C20" s="7" t="inlineStr">
        <is>
          <t>Stanley 1913</t>
        </is>
      </c>
      <c r="D20" s="7" t="inlineStr">
        <is>
          <t>official_product_page</t>
        </is>
      </c>
      <c r="E20" s="7" t="inlineStr">
        <is>
          <t>platform_compatibility</t>
        </is>
      </c>
      <c r="F20" s="7" t="inlineStr">
        <is>
          <t>useful_box_nested_in_lunch_box</t>
        </is>
      </c>
      <c r="G20" s="7" t="inlineStr">
        <is>
          <t>platform breadth and bundle logic</t>
        </is>
      </c>
      <c r="H20" s="7" t="inlineStr">
        <is>
          <t>https://www.stanley1913.com/products/classic-legendary-useful-box</t>
        </is>
      </c>
      <c r="I20" s="7" t="inlineStr">
        <is>
          <t>tier_1</t>
        </is>
      </c>
    </row>
    <row r="21">
      <c r="A21" s="7" t="inlineStr">
        <is>
          <t>SC17</t>
        </is>
      </c>
      <c r="B21" s="7" t="inlineStr">
        <is>
          <t>Post Malone Legendary Classic Bottle and Lunch Box Set</t>
        </is>
      </c>
      <c r="C21" s="7" t="inlineStr">
        <is>
          <t>Stanley 1913</t>
        </is>
      </c>
      <c r="D21" s="7" t="inlineStr">
        <is>
          <t>official_product_page</t>
        </is>
      </c>
      <c r="E21" s="7" t="inlineStr">
        <is>
          <t>set_and_bundle_proof</t>
        </is>
      </c>
      <c r="F21" s="7" t="inlineStr">
        <is>
          <t>175_usd_bundle</t>
        </is>
      </c>
      <c r="G21" s="7" t="inlineStr">
        <is>
          <t>platform breadth and bundle logic</t>
        </is>
      </c>
      <c r="H21" s="7" t="inlineStr">
        <is>
          <t>https://www.stanley1913.com/products/post-malone-legendary-classic-bottle-and-lunch-box-set</t>
        </is>
      </c>
      <c r="I21" s="7" t="inlineStr">
        <is>
          <t>tier_1</t>
        </is>
      </c>
    </row>
    <row r="22">
      <c r="A22" s="7" t="inlineStr">
        <is>
          <t>SC18</t>
        </is>
      </c>
      <c r="B22" s="7" t="inlineStr">
        <is>
          <t>YETI Daytrip Lunch Bag 6L</t>
        </is>
      </c>
      <c r="C22" s="7" t="inlineStr">
        <is>
          <t>YETI</t>
        </is>
      </c>
      <c r="D22" s="7" t="inlineStr">
        <is>
          <t>official_product_page</t>
        </is>
      </c>
      <c r="E22" s="7" t="inlineStr">
        <is>
          <t>platform_compatibility</t>
        </is>
      </c>
      <c r="F22" s="7" t="inlineStr">
        <is>
          <t>bag_plus_ice_plus_storage</t>
        </is>
      </c>
      <c r="G22" s="7" t="inlineStr">
        <is>
          <t>peer sku breadth and bundle logic</t>
        </is>
      </c>
      <c r="H22" s="7" t="inlineStr">
        <is>
          <t>https://it.yeti.com/en-de/products/daytrip-6-lunch-bag-navy</t>
        </is>
      </c>
      <c r="I22" s="7" t="inlineStr">
        <is>
          <t>tier_1</t>
        </is>
      </c>
    </row>
    <row r="23">
      <c r="A23" s="7" t="inlineStr">
        <is>
          <t>SC19</t>
        </is>
      </c>
      <c r="B23" s="7" t="inlineStr">
        <is>
          <t>YETI Daytrip Lunch Box 3L</t>
        </is>
      </c>
      <c r="C23" s="7" t="inlineStr">
        <is>
          <t>YETI</t>
        </is>
      </c>
      <c r="D23" s="7" t="inlineStr">
        <is>
          <t>official_product_page</t>
        </is>
      </c>
      <c r="E23" s="7" t="inlineStr">
        <is>
          <t>platform_compatibility</t>
        </is>
      </c>
      <c r="F23" s="7" t="inlineStr">
        <is>
          <t>3L_box_plus_accessories</t>
        </is>
      </c>
      <c r="G23" s="7" t="inlineStr">
        <is>
          <t>peer sku breadth and bundle logic</t>
        </is>
      </c>
      <c r="H23" s="7" t="inlineStr">
        <is>
          <t>https://ie.yeti.com/products/daytrip-3-lunch-box-charcoal</t>
        </is>
      </c>
      <c r="I23" s="7" t="inlineStr">
        <is>
          <t>tier_1</t>
        </is>
      </c>
    </row>
    <row r="24">
      <c r="A24" s="7" t="inlineStr">
        <is>
          <t>SC20</t>
        </is>
      </c>
      <c r="B24" s="7" t="inlineStr">
        <is>
          <t>YETI Food Containers</t>
        </is>
      </c>
      <c r="C24" s="7" t="inlineStr">
        <is>
          <t>YETI</t>
        </is>
      </c>
      <c r="D24" s="7" t="inlineStr">
        <is>
          <t>official_product_page</t>
        </is>
      </c>
      <c r="E24" s="7" t="inlineStr">
        <is>
          <t>platform_breadth</t>
        </is>
      </c>
      <c r="F24" s="7" t="inlineStr">
        <is>
          <t>food_storage_platform</t>
        </is>
      </c>
      <c r="G24" s="7" t="inlineStr">
        <is>
          <t>peer sku breadth and platform logic</t>
        </is>
      </c>
      <c r="H24" s="7" t="inlineStr">
        <is>
          <t>https://www.yeti.com/outdoor-kitchen/food-containers</t>
        </is>
      </c>
      <c r="I24" s="7" t="inlineStr">
        <is>
          <t>tier_1</t>
        </is>
      </c>
    </row>
    <row r="25">
      <c r="A25" s="7" t="inlineStr">
        <is>
          <t>EC04</t>
        </is>
      </c>
      <c r="B25" s="7" t="inlineStr">
        <is>
          <t>Change management and experience</t>
        </is>
      </c>
      <c r="C25" s="7" t="inlineStr">
        <is>
          <t>EY</t>
        </is>
      </c>
      <c r="D25" s="7" t="inlineStr">
        <is>
          <t>official_thought_leadership</t>
        </is>
      </c>
      <c r="E25" s="7" t="inlineStr">
        <is>
          <t>framework</t>
        </is>
      </c>
      <c r="F25" s="7" t="inlineStr">
        <is>
          <t>n_a</t>
        </is>
      </c>
      <c r="G25" s="7" t="inlineStr">
        <is>
          <t>implementation logic</t>
        </is>
      </c>
      <c r="H25" s="7" t="inlineStr">
        <is>
          <t>https://www.ey.com/en_us/services/workforce/change-management-experience</t>
        </is>
      </c>
      <c r="I25" s="7" t="inlineStr">
        <is>
          <t>tier_1</t>
        </is>
      </c>
    </row>
    <row r="26">
      <c r="A26" s="7" t="inlineStr">
        <is>
          <t>EC06</t>
        </is>
      </c>
      <c r="B26" s="7" t="inlineStr">
        <is>
          <t>EY Future Consumer Index March 2025</t>
        </is>
      </c>
      <c r="C26" s="7" t="inlineStr">
        <is>
          <t>EY</t>
        </is>
      </c>
      <c r="D26" s="7" t="inlineStr">
        <is>
          <t>official_newsroom</t>
        </is>
      </c>
      <c r="E26" s="7" t="inlineStr">
        <is>
          <t>consumer_signal</t>
        </is>
      </c>
      <c r="F26" s="7" t="inlineStr">
        <is>
          <t>n_a</t>
        </is>
      </c>
      <c r="G26" s="7" t="inlineStr">
        <is>
          <t>market and consumer research</t>
        </is>
      </c>
      <c r="H26" s="7" t="inlineStr">
        <is>
          <t>https://www.ey.com/en_us/newsroom/2025/03/ey-future-consumer-index</t>
        </is>
      </c>
      <c r="I26" s="7" t="inlineStr">
        <is>
          <t>tier_1</t>
        </is>
      </c>
    </row>
    <row r="27">
      <c r="A27" s="7" t="inlineStr">
        <is>
          <t>EC07</t>
        </is>
      </c>
      <c r="B27" s="7" t="inlineStr">
        <is>
          <t>EY-Parthenon Consumer Sentiment Survey March 2026</t>
        </is>
      </c>
      <c r="C27" s="7" t="inlineStr">
        <is>
          <t>EY</t>
        </is>
      </c>
      <c r="D27" s="7" t="inlineStr">
        <is>
          <t>official_newsroom</t>
        </is>
      </c>
      <c r="E27" s="7" t="inlineStr">
        <is>
          <t>consumer_signal</t>
        </is>
      </c>
      <c r="F27" s="7" t="inlineStr">
        <is>
          <t>n_a</t>
        </is>
      </c>
      <c r="G27" s="7" t="inlineStr">
        <is>
          <t>market and consumer research</t>
        </is>
      </c>
      <c r="H27" s="7" t="inlineStr">
        <is>
          <t>https://www.ey.com/en_us/newsroom/2026/03/ey-parthenon-consumer-sentiment-survey</t>
        </is>
      </c>
      <c r="I27" s="7" t="inlineStr">
        <is>
          <t>tier_1</t>
        </is>
      </c>
    </row>
    <row r="28">
      <c r="A28" s="7" t="inlineStr">
        <is>
          <t>EC08</t>
        </is>
      </c>
      <c r="B28" s="7" t="inlineStr">
        <is>
          <t>EY State of Consumer Products 2025 report</t>
        </is>
      </c>
      <c r="C28" s="7" t="inlineStr">
        <is>
          <t>EY</t>
        </is>
      </c>
      <c r="D28" s="7" t="inlineStr">
        <is>
          <t>official_thought_leadership</t>
        </is>
      </c>
      <c r="E28" s="7" t="inlineStr">
        <is>
          <t>consumer_and_capital_market_signal</t>
        </is>
      </c>
      <c r="F28" s="7" t="inlineStr">
        <is>
          <t>35_42_78</t>
        </is>
      </c>
      <c r="G28" s="7" t="inlineStr">
        <is>
          <t>consumer and capital market proof</t>
        </is>
      </c>
      <c r="H28" s="7" t="inlineStr">
        <is>
          <t>https://www.ey.com/en_it/state-of-consumer-products-report</t>
        </is>
      </c>
      <c r="I28" s="7" t="inlineStr">
        <is>
          <t>tier_1</t>
        </is>
      </c>
    </row>
    <row r="29">
      <c r="A29" s="7" t="inlineStr">
        <is>
          <t>PC01</t>
        </is>
      </c>
      <c r="B29" s="7" t="inlineStr">
        <is>
          <t>Global Consumer Insights Pulse Survey June 2023</t>
        </is>
      </c>
      <c r="C29" s="7" t="inlineStr">
        <is>
          <t>PwC</t>
        </is>
      </c>
      <c r="D29" s="7" t="inlineStr">
        <is>
          <t>official_thought_leadership</t>
        </is>
      </c>
      <c r="E29" s="7" t="inlineStr">
        <is>
          <t>dtc_and_sustainability_signal</t>
        </is>
      </c>
      <c r="F29" s="7" t="inlineStr">
        <is>
          <t>63pct_and_8_of_10</t>
        </is>
      </c>
      <c r="G29" s="7" t="inlineStr">
        <is>
          <t>dtc and pricing proof</t>
        </is>
      </c>
      <c r="H29" s="7" t="inlineStr">
        <is>
          <t>https://www.pwc.com/gx/en/industries/consumer-markets/consumer-insights-survey.html</t>
        </is>
      </c>
      <c r="I29" s="7" t="inlineStr">
        <is>
          <t>tier_1</t>
        </is>
      </c>
    </row>
    <row r="30">
      <c r="A30" s="7" t="inlineStr">
        <is>
          <t>FC01</t>
        </is>
      </c>
      <c r="B30" s="7" t="inlineStr">
        <is>
          <t>Official CBP Statement on Tariffs</t>
        </is>
      </c>
      <c r="C30" s="7" t="inlineStr">
        <is>
          <t>US Customs and Border Protection</t>
        </is>
      </c>
      <c r="D30" s="7" t="inlineStr">
        <is>
          <t>official_government_source</t>
        </is>
      </c>
      <c r="E30" s="7" t="inlineStr">
        <is>
          <t>tariff_rates</t>
        </is>
      </c>
      <c r="F30" s="7" t="inlineStr">
        <is>
          <t>20_percent_and_25_percent</t>
        </is>
      </c>
      <c r="G30" s="7" t="inlineStr">
        <is>
          <t>cost risk and sensitivity</t>
        </is>
      </c>
      <c r="H30" s="7" t="inlineStr">
        <is>
          <t>https://www.cbp.gov/newsroom/announcements/official-cbp-statement-tariffs</t>
        </is>
      </c>
      <c r="I30" s="7" t="inlineStr">
        <is>
          <t>tier_1</t>
        </is>
      </c>
    </row>
    <row r="31">
      <c r="A31" s="7" t="inlineStr">
        <is>
          <t>FC02</t>
        </is>
      </c>
      <c r="B31" s="7" t="inlineStr">
        <is>
          <t>YETI Reports Fourth Quarter and Fiscal Year 2024 Results</t>
        </is>
      </c>
      <c r="C31" s="7" t="inlineStr">
        <is>
          <t>YETI</t>
        </is>
      </c>
      <c r="D31" s="7" t="inlineStr">
        <is>
          <t>official_investor_relations</t>
        </is>
      </c>
      <c r="E31" s="7" t="inlineStr">
        <is>
          <t>public_financials</t>
        </is>
      </c>
      <c r="F31" s="7" t="inlineStr">
        <is>
          <t>1_83B_58_1pct_13_4pct_16_8pct</t>
        </is>
      </c>
      <c r="G31" s="7" t="inlineStr">
        <is>
          <t>comparable finance</t>
        </is>
      </c>
      <c r="H31" s="7" t="inlineStr">
        <is>
          <t>https://investors.yeti.com/news/news-details/2025/YETI-Reports-Fourth-Quarter-and-Fiscal-Year-2024-Results/default.aspx</t>
        </is>
      </c>
      <c r="I31" s="7" t="inlineStr">
        <is>
          <t>tier_1</t>
        </is>
      </c>
    </row>
    <row r="32">
      <c r="A32" s="7" t="inlineStr">
        <is>
          <t>FC03</t>
        </is>
      </c>
      <c r="B32" s="7" t="inlineStr">
        <is>
          <t>YETI 2024 Form 10-K</t>
        </is>
      </c>
      <c r="C32" s="7" t="inlineStr">
        <is>
          <t>SEC</t>
        </is>
      </c>
      <c r="D32" s="7" t="inlineStr">
        <is>
          <t>official_sec_filing</t>
        </is>
      </c>
      <c r="E32" s="7" t="inlineStr">
        <is>
          <t>channel_mix_and_working_capital</t>
        </is>
      </c>
      <c r="F32" s="7" t="inlineStr">
        <is>
          <t>59pct_dtc_88_5M_wc</t>
        </is>
      </c>
      <c r="G32" s="7" t="inlineStr">
        <is>
          <t>channel economics and working capital proxy</t>
        </is>
      </c>
      <c r="H32" s="7" t="inlineStr">
        <is>
          <t>https://www.sec.gov/Archives/edgar/data/1670592/000167059225000008/yeti-20241228.htm</t>
        </is>
      </c>
      <c r="I32" s="7" t="inlineStr">
        <is>
          <t>tier_1</t>
        </is>
      </c>
    </row>
    <row r="33">
      <c r="A33" s="7" t="inlineStr">
        <is>
          <t>FC04</t>
        </is>
      </c>
      <c r="B33" s="7" t="inlineStr">
        <is>
          <t>Helen of Troy Limited Reports Fourth Quarter Fiscal 2025 Results</t>
        </is>
      </c>
      <c r="C33" s="7" t="inlineStr">
        <is>
          <t>Helen of Troy</t>
        </is>
      </c>
      <c r="D33" s="7" t="inlineStr">
        <is>
          <t>official_investor_relations</t>
        </is>
      </c>
      <c r="E33" s="7" t="inlineStr">
        <is>
          <t>public_financials_and_working_capital</t>
        </is>
      </c>
      <c r="F33" s="7" t="inlineStr">
        <is>
          <t>1_9B_47_9pct_13_2pct_452_6M_113_2M</t>
        </is>
      </c>
      <c r="G33" s="7" t="inlineStr">
        <is>
          <t>comparable finance working capital and marketing proxy</t>
        </is>
      </c>
      <c r="H33" s="7" t="inlineStr">
        <is>
          <t>https://investor.helenoftroy.com/press-releases/press-release-details/2025/Helen-of-Troy-Limited-Reports-Fourth-Quarter-Fiscal-2025-Results/default.aspx</t>
        </is>
      </c>
      <c r="I33" s="7" t="inlineStr">
        <is>
          <t>tier_1</t>
        </is>
      </c>
    </row>
    <row r="34">
      <c r="A34" s="7" t="inlineStr">
        <is>
          <t>FC05</t>
        </is>
      </c>
      <c r="B34" s="7" t="inlineStr">
        <is>
          <t>Newell Brands Announces Fourth Quarter and Full Year 2024 Results</t>
        </is>
      </c>
      <c r="C34" s="7" t="inlineStr">
        <is>
          <t>Newell Brands</t>
        </is>
      </c>
      <c r="D34" s="7" t="inlineStr">
        <is>
          <t>official_investor_relations</t>
        </is>
      </c>
      <c r="E34" s="7" t="inlineStr">
        <is>
          <t>public_financials</t>
        </is>
      </c>
      <c r="F34" s="7" t="inlineStr">
        <is>
          <t>7_6B_33_6pct_8_2pct_neg6_7pct</t>
        </is>
      </c>
      <c r="G34" s="7" t="inlineStr">
        <is>
          <t>comparable finance</t>
        </is>
      </c>
      <c r="H34" s="7" t="inlineStr">
        <is>
          <t>https://ir.newellbrands.com/news-releases/news-release-details/newell-brands-announces-fourth-quarter-and-full-year-2024/</t>
        </is>
      </c>
      <c r="I34" s="7" t="inlineStr">
        <is>
          <t>tier_1</t>
        </is>
      </c>
    </row>
    <row r="35">
      <c r="A35" s="7" t="inlineStr">
        <is>
          <t>FC06</t>
        </is>
      </c>
      <c r="B35" s="7" t="inlineStr">
        <is>
          <t>YETI Reports Fourth Quarter and Full Year 2025 Results; Provides Full Year 2026 Outlook</t>
        </is>
      </c>
      <c r="C35" s="7" t="inlineStr">
        <is>
          <t>YETI</t>
        </is>
      </c>
      <c r="D35" s="7" t="inlineStr">
        <is>
          <t>official_investor_relations</t>
        </is>
      </c>
      <c r="E35" s="7" t="inlineStr">
        <is>
          <t>channel_and_cash_conversion</t>
        </is>
      </c>
      <c r="F35" s="7" t="inlineStr">
        <is>
          <t>1_868B_1_128B_290_6M_212_1M</t>
        </is>
      </c>
      <c r="G35" s="7" t="inlineStr">
        <is>
          <t>channel economics working capital and capex proxy</t>
        </is>
      </c>
      <c r="H35" s="7" t="inlineStr">
        <is>
          <t>https://investors.yeti.com/news/news-details/2026/YETI-ReportsFourth-Quarter-and-Full-Year-2025-Results-Provides-Full-Year-2026-Outlook/default.aspx</t>
        </is>
      </c>
      <c r="I35" s="7" t="inlineStr">
        <is>
          <t>tier_1</t>
        </is>
      </c>
    </row>
    <row r="36">
      <c r="A36" s="7" t="inlineStr">
        <is>
          <t>FC07</t>
        </is>
      </c>
      <c r="B36" s="7" t="inlineStr">
        <is>
          <t>Newell Brands 2024 Annual Report</t>
        </is>
      </c>
      <c r="C36" s="7" t="inlineStr">
        <is>
          <t>Newell Brands</t>
        </is>
      </c>
      <c r="D36" s="7" t="inlineStr">
        <is>
          <t>official_annual_report</t>
        </is>
      </c>
      <c r="E36" s="7" t="inlineStr">
        <is>
          <t>working_capital_proxy</t>
        </is>
      </c>
      <c r="F36" s="7" t="inlineStr">
        <is>
          <t>878M_1_4B_496M</t>
        </is>
      </c>
      <c r="G36" s="7" t="inlineStr">
        <is>
          <t>working capital and cash conversion proxy</t>
        </is>
      </c>
      <c r="H36" s="7" t="inlineStr">
        <is>
          <t>https://ir.newellbrands.com/static-files/fcd38c5c-f1cd-422f-9567-302461d5853f</t>
        </is>
      </c>
      <c r="I36" s="7" t="inlineStr">
        <is>
          <t>tier_1</t>
        </is>
      </c>
    </row>
    <row r="37">
      <c r="A37" s="7" t="inlineStr">
        <is>
          <t>BC01</t>
        </is>
      </c>
      <c r="B37" s="7" t="inlineStr">
        <is>
          <t>Under Pressure Consumers Shift Their Spending</t>
        </is>
      </c>
      <c r="C37" s="7" t="inlineStr">
        <is>
          <t>BCG</t>
        </is>
      </c>
      <c r="D37" s="7" t="inlineStr">
        <is>
          <t>official_thought_leadership</t>
        </is>
      </c>
      <c r="E37" s="7" t="inlineStr">
        <is>
          <t>consumer_methodology_context</t>
        </is>
      </c>
      <c r="F37" s="7" t="inlineStr">
        <is>
          <t>consumer_spending_pressure</t>
        </is>
      </c>
      <c r="G37" s="7" t="inlineStr">
        <is>
          <t>about research and consulting benchmark</t>
        </is>
      </c>
      <c r="H37" s="7" t="inlineStr">
        <is>
          <t>https://www.bcg.com/publications/2025/under-pressure-consumers-shift-their-spending</t>
        </is>
      </c>
      <c r="I37" s="7" t="inlineStr">
        <is>
          <t>tier_1</t>
        </is>
      </c>
    </row>
    <row r="38">
      <c r="A38" s="7" t="inlineStr">
        <is>
          <t>DC01</t>
        </is>
      </c>
      <c r="B38" s="7" t="inlineStr">
        <is>
          <t>The Future of Consumer Packaged Goods</t>
        </is>
      </c>
      <c r="C38" s="7" t="inlineStr">
        <is>
          <t>Deloitte</t>
        </is>
      </c>
      <c r="D38" s="7" t="inlineStr">
        <is>
          <t>official_thought_leadership</t>
        </is>
      </c>
      <c r="E38" s="7" t="inlineStr">
        <is>
          <t>strategic_imperatives</t>
        </is>
      </c>
      <c r="F38" s="7" t="inlineStr">
        <is>
          <t>data_ai_trade_fragility</t>
        </is>
      </c>
      <c r="G38" s="7" t="inlineStr">
        <is>
          <t>about research and channel strategy framing</t>
        </is>
      </c>
      <c r="H38" s="7" t="inlineStr">
        <is>
          <t>https://www.deloitte.com/content/dam/assets-zone3/us/en/docs/industries/consumer/2025/the-future-of-consumer-packaged-goods.pdf</t>
        </is>
      </c>
      <c r="I38" s="7" t="inlineStr">
        <is>
          <t>tier_1</t>
        </is>
      </c>
    </row>
    <row r="39">
      <c r="A39" s="7" t="inlineStr">
        <is>
          <t>FM01</t>
        </is>
      </c>
      <c r="B39" s="7" t="inlineStr">
        <is>
          <t>Stanley</t>
        </is>
      </c>
      <c r="C39" s="7" t="inlineStr">
        <is>
          <t>Time</t>
        </is>
      </c>
      <c r="D39" s="7" t="inlineStr">
        <is>
          <t>media_profile</t>
        </is>
      </c>
      <c r="E39" s="7" t="inlineStr">
        <is>
          <t>revenue_anchor</t>
        </is>
      </c>
      <c r="F39" s="7" t="inlineStr">
        <is>
          <t>750M</t>
        </is>
      </c>
      <c r="G39" s="7" t="inlineStr">
        <is>
          <t>stanley baseline revenue anchor</t>
        </is>
      </c>
      <c r="H39" s="7" t="inlineStr">
        <is>
          <t>https://time.com/collections/time100-companies-2024/6978931/stanley-cups/</t>
        </is>
      </c>
      <c r="I39" s="7" t="inlineStr">
        <is>
          <t>tier_2</t>
        </is>
      </c>
    </row>
    <row r="40">
      <c r="A40" s="7" t="inlineStr">
        <is>
          <t>MC01</t>
        </is>
      </c>
      <c r="B40" s="7" t="inlineStr">
        <is>
          <t>Consumers care about sustainability and back it up with their wallets</t>
        </is>
      </c>
      <c r="C40" s="7" t="inlineStr">
        <is>
          <t>McKinsey</t>
        </is>
      </c>
      <c r="D40" s="7" t="inlineStr">
        <is>
          <t>official_thought_leadership</t>
        </is>
      </c>
      <c r="E40" s="7" t="inlineStr">
        <is>
          <t>consumer_signal</t>
        </is>
      </c>
      <c r="F40" s="7" t="inlineStr">
        <is>
          <t>n_a</t>
        </is>
      </c>
      <c r="G40" s="7" t="inlineStr">
        <is>
          <t>consumer research</t>
        </is>
      </c>
      <c r="H40" s="7" t="inlineStr">
        <is>
          <t>https://www.mckinsey.com/industries/consumer-packaged-goods/our-insights/consumers-care-about-sustainability-and-back-it-up-with-their-wallets</t>
        </is>
      </c>
      <c r="I40" s="7" t="inlineStr">
        <is>
          <t>tier_2</t>
        </is>
      </c>
    </row>
    <row r="41">
      <c r="A41" s="7" t="inlineStr">
        <is>
          <t>MC02</t>
        </is>
      </c>
      <c r="B41" s="7" t="inlineStr">
        <is>
          <t>State of Consumer trends report 2025</t>
        </is>
      </c>
      <c r="C41" s="7" t="inlineStr">
        <is>
          <t>McKinsey</t>
        </is>
      </c>
      <c r="D41" s="7" t="inlineStr">
        <is>
          <t>official_thought_leadership</t>
        </is>
      </c>
      <c r="E41" s="7" t="inlineStr">
        <is>
          <t>consumer_methodology_context</t>
        </is>
      </c>
      <c r="F41" s="7" t="inlineStr">
        <is>
          <t>2838_consumers</t>
        </is>
      </c>
      <c r="G41" s="7" t="inlineStr">
        <is>
          <t>about research and consulting benchmark</t>
        </is>
      </c>
      <c r="H41" s="7" t="inlineStr">
        <is>
          <t>https://www.mckinsey.com/industries/consumer-packaged-goods/our-insights/state-of-consumer</t>
        </is>
      </c>
      <c r="I41" s="7" t="inlineStr">
        <is>
          <t>tier_1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Assumption Register</t>
        </is>
      </c>
    </row>
    <row r="2">
      <c r="A2" s="2" t="inlineStr">
        <is>
          <t>All finance inputs classified as hard_fact, derived_estimate, or assumption</t>
        </is>
      </c>
    </row>
    <row r="4">
      <c r="A4" s="5" t="inlineStr">
        <is>
          <t>sheet</t>
        </is>
      </c>
      <c r="B4" s="5" t="inlineStr">
        <is>
          <t>driver</t>
        </is>
      </c>
      <c r="C4" s="5" t="inlineStr">
        <is>
          <t>classification</t>
        </is>
      </c>
      <c r="D4" s="5" t="inlineStr">
        <is>
          <t>source_ids</t>
        </is>
      </c>
      <c r="E4" s="5" t="inlineStr">
        <is>
          <t>unit</t>
        </is>
      </c>
      <c r="F4" s="5" t="inlineStr">
        <is>
          <t>year_1</t>
        </is>
      </c>
      <c r="G4" s="5" t="inlineStr">
        <is>
          <t>year_2</t>
        </is>
      </c>
      <c r="H4" s="5" t="inlineStr">
        <is>
          <t>year_3</t>
        </is>
      </c>
      <c r="I4" s="5" t="inlineStr">
        <is>
          <t>notes</t>
        </is>
      </c>
    </row>
    <row r="5">
      <c r="A5" s="7" t="inlineStr">
        <is>
          <t>03_stanley_baseline</t>
        </is>
      </c>
      <c r="B5" s="10" t="inlineStr">
        <is>
          <t>Current revenue anchor</t>
        </is>
      </c>
      <c r="C5" s="10" t="inlineStr">
        <is>
          <t>derived_estimate</t>
        </is>
      </c>
      <c r="D5" s="7" t="inlineStr">
        <is>
          <t>FM01</t>
        </is>
      </c>
      <c r="E5" s="7" t="inlineStr">
        <is>
          <t>usd</t>
        </is>
      </c>
      <c r="F5" s="11" t="n">
        <v>750000000</v>
      </c>
      <c r="G5" s="11" t="n">
        <v>750000000</v>
      </c>
      <c r="H5" s="11" t="n">
        <v>750000000</v>
      </c>
      <c r="I5" s="7" t="inlineStr">
        <is>
          <t>Media-reported 2023 sales anchor for Year 0 scale context.</t>
        </is>
      </c>
    </row>
    <row r="6">
      <c r="A6" s="7" t="inlineStr">
        <is>
          <t>03_stanley_baseline</t>
        </is>
      </c>
      <c r="B6" s="12" t="inlineStr">
        <is>
          <t>Status quo revenue growth</t>
        </is>
      </c>
      <c r="C6" s="12" t="inlineStr">
        <is>
          <t>assumption</t>
        </is>
      </c>
      <c r="D6" s="7" t="inlineStr">
        <is>
          <t>LC09|LC10</t>
        </is>
      </c>
      <c r="E6" s="7" t="inlineStr">
        <is>
          <t>percent</t>
        </is>
      </c>
      <c r="F6" s="13" t="n">
        <v>0.025</v>
      </c>
      <c r="G6" s="13" t="n">
        <v>0.025</v>
      </c>
      <c r="H6" s="13" t="n">
        <v>0.025</v>
      </c>
      <c r="I6" s="7" t="inlineStr">
        <is>
          <t>Moderate mature-brand growth assumption used only to show scale context.</t>
        </is>
      </c>
    </row>
    <row r="7">
      <c r="A7" s="7" t="inlineStr">
        <is>
          <t>03_stanley_baseline</t>
        </is>
      </c>
      <c r="B7" s="14" t="inlineStr">
        <is>
          <t>Global food storage market size</t>
        </is>
      </c>
      <c r="C7" s="14" t="inlineStr">
        <is>
          <t>hard_fact</t>
        </is>
      </c>
      <c r="D7" s="7" t="inlineStr">
        <is>
          <t>LC01</t>
        </is>
      </c>
      <c r="E7" s="7" t="inlineStr">
        <is>
          <t>usd</t>
        </is>
      </c>
      <c r="F7" s="15" t="n">
        <v>173450000000</v>
      </c>
      <c r="G7" s="15" t="n">
        <v>173450000000</v>
      </c>
      <c r="H7" s="15" t="n">
        <v>173450000000</v>
      </c>
      <c r="I7" s="7" t="inlineStr">
        <is>
          <t>Case Exhibit D market size.</t>
        </is>
      </c>
    </row>
    <row r="8">
      <c r="A8" s="7" t="inlineStr">
        <is>
          <t>03_stanley_baseline</t>
        </is>
      </c>
      <c r="B8" s="14" t="inlineStr">
        <is>
          <t>Global food storage market CAGR</t>
        </is>
      </c>
      <c r="C8" s="14" t="inlineStr">
        <is>
          <t>hard_fact</t>
        </is>
      </c>
      <c r="D8" s="7" t="inlineStr">
        <is>
          <t>LC01</t>
        </is>
      </c>
      <c r="E8" s="7" t="inlineStr">
        <is>
          <t>percent</t>
        </is>
      </c>
      <c r="F8" s="16" t="n">
        <v>0.046</v>
      </c>
      <c r="G8" s="16" t="n">
        <v>0.046</v>
      </c>
      <c r="H8" s="16" t="n">
        <v>0.046</v>
      </c>
      <c r="I8" s="7" t="inlineStr">
        <is>
          <t>Case Exhibit D projected 2025-2032 CAGR.</t>
        </is>
      </c>
    </row>
    <row r="9">
      <c r="A9" s="7" t="inlineStr">
        <is>
          <t>03_stanley_baseline</t>
        </is>
      </c>
      <c r="B9" s="14" t="inlineStr">
        <is>
          <t>APAC market share</t>
        </is>
      </c>
      <c r="C9" s="14" t="inlineStr">
        <is>
          <t>hard_fact</t>
        </is>
      </c>
      <c r="D9" s="7" t="inlineStr">
        <is>
          <t>LC01</t>
        </is>
      </c>
      <c r="E9" s="7" t="inlineStr">
        <is>
          <t>percent</t>
        </is>
      </c>
      <c r="F9" s="16" t="n">
        <v>0.3676</v>
      </c>
      <c r="G9" s="16" t="n">
        <v>0.3676</v>
      </c>
      <c r="H9" s="16" t="n">
        <v>0.3676</v>
      </c>
      <c r="I9" s="7" t="inlineStr">
        <is>
          <t>Case industry overview regional market share.</t>
        </is>
      </c>
    </row>
    <row r="10">
      <c r="A10" s="7" t="inlineStr">
        <is>
          <t>03_stanley_baseline</t>
        </is>
      </c>
      <c r="B10" s="10" t="inlineStr">
        <is>
          <t>Reference premium-peer gross margin</t>
        </is>
      </c>
      <c r="C10" s="10" t="inlineStr">
        <is>
          <t>derived_estimate</t>
        </is>
      </c>
      <c r="D10" s="7" t="inlineStr">
        <is>
          <t>FC02|FC04|LC01</t>
        </is>
      </c>
      <c r="E10" s="7" t="inlineStr">
        <is>
          <t>percent</t>
        </is>
      </c>
      <c r="F10" s="17" t="n">
        <v>0.57</v>
      </c>
      <c r="G10" s="17" t="n">
        <v>0.57</v>
      </c>
      <c r="H10" s="17" t="n">
        <v>0.57</v>
      </c>
      <c r="I10" s="7" t="inlineStr">
        <is>
          <t>Reference point for Stanley baseline economics based on premium peer set.</t>
        </is>
      </c>
    </row>
    <row r="11">
      <c r="A11" s="7" t="inlineStr">
        <is>
          <t>04_05_option_2_revenue</t>
        </is>
      </c>
      <c r="B11" s="12" t="inlineStr">
        <is>
          <t>SKU count</t>
        </is>
      </c>
      <c r="C11" s="12" t="inlineStr">
        <is>
          <t>assumption</t>
        </is>
      </c>
      <c r="D11" s="7" t="inlineStr">
        <is>
          <t>LC09|LC10|SC04|SC05|SC06</t>
        </is>
      </c>
      <c r="E11" s="7" t="inlineStr">
        <is>
          <t>count</t>
        </is>
      </c>
      <c r="F11" s="18" t="n">
        <v>3</v>
      </c>
      <c r="G11" s="18" t="n">
        <v>5</v>
      </c>
      <c r="H11" s="18" t="n">
        <v>6</v>
      </c>
      <c r="I11" s="7" t="inlineStr">
        <is>
          <t>Platform starts with core meal system launch and expands selectively.</t>
        </is>
      </c>
    </row>
    <row r="12">
      <c r="A12" s="7" t="inlineStr">
        <is>
          <t>04_05_option_2_revenue</t>
        </is>
      </c>
      <c r="B12" s="12" t="inlineStr">
        <is>
          <t>Launch timing factor</t>
        </is>
      </c>
      <c r="C12" s="12" t="inlineStr">
        <is>
          <t>assumption</t>
        </is>
      </c>
      <c r="D12" s="7" t="inlineStr">
        <is>
          <t>LC02|EC04</t>
        </is>
      </c>
      <c r="E12" s="7" t="inlineStr">
        <is>
          <t>factor</t>
        </is>
      </c>
      <c r="F12" s="19" t="n">
        <v>0.5</v>
      </c>
      <c r="G12" s="19" t="n">
        <v>0.85</v>
      </c>
      <c r="H12" s="19" t="n">
        <v>1</v>
      </c>
      <c r="I12" s="7" t="inlineStr">
        <is>
          <t>Half-year launch in Year 1, ramp-up in Year 2, full year from Year 3 onward.</t>
        </is>
      </c>
    </row>
    <row r="13">
      <c r="A13" s="7" t="inlineStr">
        <is>
          <t>04_05_option_2_revenue</t>
        </is>
      </c>
      <c r="B13" s="12" t="inlineStr">
        <is>
          <t>Units per SKU</t>
        </is>
      </c>
      <c r="C13" s="12" t="inlineStr">
        <is>
          <t>assumption</t>
        </is>
      </c>
      <c r="D13" s="7" t="inlineStr">
        <is>
          <t>LC09|LC10|EC06|EC07</t>
        </is>
      </c>
      <c r="E13" s="7" t="inlineStr">
        <is>
          <t>units</t>
        </is>
      </c>
      <c r="F13" s="18" t="n">
        <v>180000</v>
      </c>
      <c r="G13" s="18" t="n">
        <v>220000</v>
      </c>
      <c r="H13" s="18" t="n">
        <v>260000</v>
      </c>
      <c r="I13" s="7" t="inlineStr">
        <is>
          <t>Conservative-to-moderate volume ramp for adjacent premium line.</t>
        </is>
      </c>
    </row>
    <row r="14">
      <c r="A14" s="7" t="inlineStr">
        <is>
          <t>04_05_option_2_revenue</t>
        </is>
      </c>
      <c r="B14" s="10" t="inlineStr">
        <is>
          <t>MSRP / ASP anchor</t>
        </is>
      </c>
      <c r="C14" s="10" t="inlineStr">
        <is>
          <t>derived_estimate</t>
        </is>
      </c>
      <c r="D14" s="7" t="inlineStr">
        <is>
          <t>SC06|SC09|SC10</t>
        </is>
      </c>
      <c r="E14" s="7" t="inlineStr">
        <is>
          <t>usd</t>
        </is>
      </c>
      <c r="F14" s="11" t="n">
        <v>42</v>
      </c>
      <c r="G14" s="11" t="n">
        <v>43</v>
      </c>
      <c r="H14" s="11" t="n">
        <v>44</v>
      </c>
      <c r="I14" s="7" t="inlineStr">
        <is>
          <t>Anchored to current Stanley premium drinkware and foodware price ladder.</t>
        </is>
      </c>
    </row>
    <row r="15">
      <c r="A15" s="7" t="inlineStr">
        <is>
          <t>04_05_option_2_revenue</t>
        </is>
      </c>
      <c r="B15" s="10" t="inlineStr">
        <is>
          <t>DTC mix</t>
        </is>
      </c>
      <c r="C15" s="10" t="inlineStr">
        <is>
          <t>derived_estimate</t>
        </is>
      </c>
      <c r="D15" s="7" t="inlineStr">
        <is>
          <t>FC03|FC06|PC01|EC08|DC01</t>
        </is>
      </c>
      <c r="E15" s="7" t="inlineStr">
        <is>
          <t>percent</t>
        </is>
      </c>
      <c r="F15" s="17" t="n">
        <v>0.52</v>
      </c>
      <c r="G15" s="17" t="n">
        <v>0.48</v>
      </c>
      <c r="H15" s="17" t="n">
        <v>0.44</v>
      </c>
      <c r="I15" s="7" t="inlineStr">
        <is>
          <t>Launch stays DTC-first versus public premium-peer channel mix, then broadens wholesale as the platform scales.</t>
        </is>
      </c>
    </row>
    <row r="16">
      <c r="A16" s="7" t="inlineStr">
        <is>
          <t>04_05_option_2_revenue</t>
        </is>
      </c>
      <c r="B16" s="10" t="inlineStr">
        <is>
          <t>Wholesale realization factor</t>
        </is>
      </c>
      <c r="C16" s="10" t="inlineStr">
        <is>
          <t>derived_estimate</t>
        </is>
      </c>
      <c r="D16" s="7" t="inlineStr">
        <is>
          <t>LC09|FC02|FC04</t>
        </is>
      </c>
      <c r="E16" s="7" t="inlineStr">
        <is>
          <t>factor</t>
        </is>
      </c>
      <c r="F16" s="20" t="n">
        <v>0.68</v>
      </c>
      <c r="G16" s="20" t="n">
        <v>0.68</v>
      </c>
      <c r="H16" s="20" t="n">
        <v>0.68</v>
      </c>
      <c r="I16" s="7" t="inlineStr">
        <is>
          <t>Implied realized price vs. MSRP in partner channels.</t>
        </is>
      </c>
    </row>
    <row r="17">
      <c r="A17" s="7" t="inlineStr">
        <is>
          <t>04_05_option_2_revenue</t>
        </is>
      </c>
      <c r="B17" s="12" t="inlineStr">
        <is>
          <t>Promo discount</t>
        </is>
      </c>
      <c r="C17" s="12" t="inlineStr">
        <is>
          <t>assumption</t>
        </is>
      </c>
      <c r="D17" s="7" t="inlineStr">
        <is>
          <t>EC06|EC07</t>
        </is>
      </c>
      <c r="E17" s="7" t="inlineStr">
        <is>
          <t>percent</t>
        </is>
      </c>
      <c r="F17" s="13" t="n">
        <v>0.08</v>
      </c>
      <c r="G17" s="13" t="n">
        <v>0.07000000000000001</v>
      </c>
      <c r="H17" s="13" t="n">
        <v>0.07000000000000001</v>
      </c>
      <c r="I17" s="7" t="inlineStr">
        <is>
          <t>Modest promo support, improving as line matures.</t>
        </is>
      </c>
    </row>
    <row r="18">
      <c r="A18" s="7" t="inlineStr">
        <is>
          <t>04_05_option_2_revenue</t>
        </is>
      </c>
      <c r="B18" s="12" t="inlineStr">
        <is>
          <t>Returns rate</t>
        </is>
      </c>
      <c r="C18" s="12" t="inlineStr">
        <is>
          <t>assumption</t>
        </is>
      </c>
      <c r="D18" s="7" t="inlineStr">
        <is>
          <t>LC09|LC10</t>
        </is>
      </c>
      <c r="E18" s="7" t="inlineStr">
        <is>
          <t>percent</t>
        </is>
      </c>
      <c r="F18" s="13" t="n">
        <v>0.03</v>
      </c>
      <c r="G18" s="13" t="n">
        <v>0.03</v>
      </c>
      <c r="H18" s="13" t="n">
        <v>0.025</v>
      </c>
      <c r="I18" s="7" t="inlineStr">
        <is>
          <t>Reasonable returns assumption for premium consumer hardgoods.</t>
        </is>
      </c>
    </row>
    <row r="19">
      <c r="A19" s="7" t="inlineStr">
        <is>
          <t>04_05_option_2_revenue</t>
        </is>
      </c>
      <c r="B19" s="10" t="inlineStr">
        <is>
          <t>Bundle penetration</t>
        </is>
      </c>
      <c r="C19" s="10" t="inlineStr">
        <is>
          <t>derived_estimate</t>
        </is>
      </c>
      <c r="D19" s="7" t="inlineStr">
        <is>
          <t>SC06|SC15|SC16|SC17|SC18|SC19|SC20</t>
        </is>
      </c>
      <c r="E19" s="7" t="inlineStr">
        <is>
          <t>percent</t>
        </is>
      </c>
      <c r="F19" s="17" t="n">
        <v>0.12</v>
      </c>
      <c r="G19" s="17" t="n">
        <v>0.16</v>
      </c>
      <c r="H19" s="17" t="n">
        <v>0.2</v>
      </c>
      <c r="I19" s="7" t="inlineStr">
        <is>
          <t>Share of core orders that convert into a multi-component system purchase, anchored to official cross-sell and set design evidence.</t>
        </is>
      </c>
    </row>
    <row r="20">
      <c r="A20" s="7" t="inlineStr">
        <is>
          <t>04_05_option_2_revenue</t>
        </is>
      </c>
      <c r="B20" s="12" t="inlineStr">
        <is>
          <t>Attach rate</t>
        </is>
      </c>
      <c r="C20" s="12" t="inlineStr">
        <is>
          <t>assumption</t>
        </is>
      </c>
      <c r="D20" s="7" t="inlineStr">
        <is>
          <t>LC09|LC10|SC04</t>
        </is>
      </c>
      <c r="E20" s="7" t="inlineStr">
        <is>
          <t>factor</t>
        </is>
      </c>
      <c r="F20" s="19" t="n">
        <v>0.9</v>
      </c>
      <c r="G20" s="19" t="n">
        <v>1</v>
      </c>
      <c r="H20" s="19" t="n">
        <v>1.05</v>
      </c>
      <c r="I20" s="7" t="inlineStr">
        <is>
          <t>Average attached item count when bundle behavior occurs.</t>
        </is>
      </c>
    </row>
    <row r="21">
      <c r="A21" s="7" t="inlineStr">
        <is>
          <t>04_05_option_2_revenue</t>
        </is>
      </c>
      <c r="B21" s="12" t="inlineStr">
        <is>
          <t>Attach ASP factor</t>
        </is>
      </c>
      <c r="C21" s="12" t="inlineStr">
        <is>
          <t>assumption</t>
        </is>
      </c>
      <c r="D21" s="7" t="inlineStr">
        <is>
          <t>SC05|SC06|SC09|SC10</t>
        </is>
      </c>
      <c r="E21" s="7" t="inlineStr">
        <is>
          <t>factor</t>
        </is>
      </c>
      <c r="F21" s="19" t="n">
        <v>0.45</v>
      </c>
      <c r="G21" s="19" t="n">
        <v>0.45</v>
      </c>
      <c r="H21" s="19" t="n">
        <v>0.45</v>
      </c>
      <c r="I21" s="7" t="inlineStr">
        <is>
          <t>Attached item value as a share of core-line ASP.</t>
        </is>
      </c>
    </row>
    <row r="22">
      <c r="A22" s="7" t="inlineStr">
        <is>
          <t>04_05_option_2_cost</t>
        </is>
      </c>
      <c r="B22" s="10" t="inlineStr">
        <is>
          <t>Unit COGS</t>
        </is>
      </c>
      <c r="C22" s="10" t="inlineStr">
        <is>
          <t>derived_estimate</t>
        </is>
      </c>
      <c r="D22" s="7" t="inlineStr">
        <is>
          <t>FC02|FC04|FC05</t>
        </is>
      </c>
      <c r="E22" s="7" t="inlineStr">
        <is>
          <t>usd</t>
        </is>
      </c>
      <c r="F22" s="11" t="n">
        <v>10.5</v>
      </c>
      <c r="G22" s="11" t="n">
        <v>10.7</v>
      </c>
      <c r="H22" s="11" t="n">
        <v>10.9</v>
      </c>
      <c r="I22" s="7" t="inlineStr">
        <is>
          <t>Premium insulated foodware cost base anchored to peer margin range.</t>
        </is>
      </c>
    </row>
    <row r="23">
      <c r="A23" s="7" t="inlineStr">
        <is>
          <t>04_05_option_2_cost</t>
        </is>
      </c>
      <c r="B23" s="12" t="inlineStr">
        <is>
          <t>Packaging per unit</t>
        </is>
      </c>
      <c r="C23" s="12" t="inlineStr">
        <is>
          <t>assumption</t>
        </is>
      </c>
      <c r="D23" s="7" t="inlineStr">
        <is>
          <t>MC01</t>
        </is>
      </c>
      <c r="E23" s="7" t="inlineStr">
        <is>
          <t>usd</t>
        </is>
      </c>
      <c r="F23" s="21" t="n">
        <v>1.2</v>
      </c>
      <c r="G23" s="21" t="n">
        <v>1.2</v>
      </c>
      <c r="H23" s="21" t="n">
        <v>1.25</v>
      </c>
      <c r="I23" s="7" t="inlineStr">
        <is>
          <t>Premium packaging with sustainability-aware design choices.</t>
        </is>
      </c>
    </row>
    <row r="24">
      <c r="A24" s="7" t="inlineStr">
        <is>
          <t>04_05_option_2_cost</t>
        </is>
      </c>
      <c r="B24" s="12" t="inlineStr">
        <is>
          <t>Freight per unit</t>
        </is>
      </c>
      <c r="C24" s="12" t="inlineStr">
        <is>
          <t>assumption</t>
        </is>
      </c>
      <c r="D24" s="7" t="inlineStr">
        <is>
          <t>FC01|LC01</t>
        </is>
      </c>
      <c r="E24" s="7" t="inlineStr">
        <is>
          <t>usd</t>
        </is>
      </c>
      <c r="F24" s="21" t="n">
        <v>1.7</v>
      </c>
      <c r="G24" s="21" t="n">
        <v>1.6</v>
      </c>
      <c r="H24" s="21" t="n">
        <v>1.55</v>
      </c>
      <c r="I24" s="7" t="inlineStr">
        <is>
          <t>Landing costs improve modestly with scale and mix.</t>
        </is>
      </c>
    </row>
    <row r="25">
      <c r="A25" s="7" t="inlineStr">
        <is>
          <t>04_05_option_2_cost</t>
        </is>
      </c>
      <c r="B25" s="10" t="inlineStr">
        <is>
          <t>Tariff load on manufacturing COGS</t>
        </is>
      </c>
      <c r="C25" s="10" t="inlineStr">
        <is>
          <t>derived_estimate</t>
        </is>
      </c>
      <c r="D25" s="7" t="inlineStr">
        <is>
          <t>FC01|LC01</t>
        </is>
      </c>
      <c r="E25" s="7" t="inlineStr">
        <is>
          <t>percent</t>
        </is>
      </c>
      <c r="F25" s="17" t="n">
        <v>0.04</v>
      </c>
      <c r="G25" s="17" t="n">
        <v>0.04</v>
      </c>
      <c r="H25" s="17" t="n">
        <v>0.035</v>
      </c>
      <c r="I25" s="7" t="inlineStr">
        <is>
          <t>Partial exposure assumption rather than full tariff pass-through.</t>
        </is>
      </c>
    </row>
    <row r="26">
      <c r="A26" s="7" t="inlineStr">
        <is>
          <t>04_05_option_2_cost</t>
        </is>
      </c>
      <c r="B26" s="12" t="inlineStr">
        <is>
          <t>Promo effect on gross margin</t>
        </is>
      </c>
      <c r="C26" s="12" t="inlineStr">
        <is>
          <t>assumption</t>
        </is>
      </c>
      <c r="D26" s="7" t="inlineStr">
        <is>
          <t>EC06|EC07</t>
        </is>
      </c>
      <c r="E26" s="7" t="inlineStr">
        <is>
          <t>percent</t>
        </is>
      </c>
      <c r="F26" s="13" t="n">
        <v>0.01</v>
      </c>
      <c r="G26" s="13" t="n">
        <v>0.01</v>
      </c>
      <c r="H26" s="13" t="n">
        <v>0.008999999999999999</v>
      </c>
      <c r="I26" s="7" t="inlineStr">
        <is>
          <t>Gross-margin drag from markdown and channel support.</t>
        </is>
      </c>
    </row>
    <row r="27">
      <c r="A27" s="7" t="inlineStr">
        <is>
          <t>04_05_option_2_opex</t>
        </is>
      </c>
      <c r="B27" s="10" t="inlineStr">
        <is>
          <t>Launch marketing as % of sales</t>
        </is>
      </c>
      <c r="C27" s="10" t="inlineStr">
        <is>
          <t>derived_estimate</t>
        </is>
      </c>
      <c r="D27" s="7" t="inlineStr">
        <is>
          <t>FC02|FC04|FC06|FC07|DC01</t>
        </is>
      </c>
      <c r="E27" s="7" t="inlineStr">
        <is>
          <t>percent</t>
        </is>
      </c>
      <c r="F27" s="17" t="n">
        <v>0.13</v>
      </c>
      <c r="G27" s="17" t="n">
        <v>0.12</v>
      </c>
      <c r="H27" s="17" t="n">
        <v>0.11</v>
      </c>
      <c r="I27" s="7" t="inlineStr">
        <is>
          <t>Front-loaded launch support kept inside public peer SG&amp;A and reinvestment guardrails.</t>
        </is>
      </c>
    </row>
    <row r="28">
      <c r="A28" s="7" t="inlineStr">
        <is>
          <t>04_05_option_2_opex</t>
        </is>
      </c>
      <c r="B28" s="12" t="inlineStr">
        <is>
          <t>Trade spend as % of sales</t>
        </is>
      </c>
      <c r="C28" s="12" t="inlineStr">
        <is>
          <t>assumption</t>
        </is>
      </c>
      <c r="D28" s="7" t="inlineStr">
        <is>
          <t>LC09|FC05</t>
        </is>
      </c>
      <c r="E28" s="7" t="inlineStr">
        <is>
          <t>percent</t>
        </is>
      </c>
      <c r="F28" s="13" t="n">
        <v>0.05</v>
      </c>
      <c r="G28" s="13" t="n">
        <v>0.055</v>
      </c>
      <c r="H28" s="13" t="n">
        <v>0.06</v>
      </c>
      <c r="I28" s="7" t="inlineStr">
        <is>
          <t>Retail enablement and shelf support increases with scale.</t>
        </is>
      </c>
    </row>
    <row r="29">
      <c r="A29" s="7" t="inlineStr">
        <is>
          <t>04_05_option_2_opex</t>
        </is>
      </c>
      <c r="B29" s="12" t="inlineStr">
        <is>
          <t>Incremental SG&amp;A as % of sales</t>
        </is>
      </c>
      <c r="C29" s="12" t="inlineStr">
        <is>
          <t>assumption</t>
        </is>
      </c>
      <c r="D29" s="7" t="inlineStr">
        <is>
          <t>FC02|FC04|FC05|FC06|FC07</t>
        </is>
      </c>
      <c r="E29" s="7" t="inlineStr">
        <is>
          <t>percent</t>
        </is>
      </c>
      <c r="F29" s="13" t="n">
        <v>0.04</v>
      </c>
      <c r="G29" s="13" t="n">
        <v>0.04</v>
      </c>
      <c r="H29" s="13" t="n">
        <v>0.042</v>
      </c>
      <c r="I29" s="7" t="inlineStr">
        <is>
          <t>Incremental commercial and support overhead for scaled platform.</t>
        </is>
      </c>
    </row>
    <row r="30">
      <c r="A30" s="7" t="inlineStr">
        <is>
          <t>04_05_option_2_opex</t>
        </is>
      </c>
      <c r="B30" s="12" t="inlineStr">
        <is>
          <t>Design and tooling</t>
        </is>
      </c>
      <c r="C30" s="12" t="inlineStr">
        <is>
          <t>assumption</t>
        </is>
      </c>
      <c r="D30" s="7" t="inlineStr">
        <is>
          <t>LC09|LC10</t>
        </is>
      </c>
      <c r="E30" s="7" t="inlineStr">
        <is>
          <t>usd</t>
        </is>
      </c>
      <c r="F30" s="21" t="n">
        <v>8000000</v>
      </c>
      <c r="G30" s="21" t="n">
        <v>4000000</v>
      </c>
      <c r="H30" s="21" t="n">
        <v>3000000</v>
      </c>
      <c r="I30" s="7" t="inlineStr">
        <is>
          <t>Front-loaded development and refresh cadence.</t>
        </is>
      </c>
    </row>
    <row r="31">
      <c r="A31" s="7" t="inlineStr">
        <is>
          <t>04_05_option_2_opex</t>
        </is>
      </c>
      <c r="B31" s="10" t="inlineStr">
        <is>
          <t>Inventory support as % of sales</t>
        </is>
      </c>
      <c r="C31" s="10" t="inlineStr">
        <is>
          <t>derived_estimate</t>
        </is>
      </c>
      <c r="D31" s="7" t="inlineStr">
        <is>
          <t>FC03|FC04|FC06|FC07</t>
        </is>
      </c>
      <c r="E31" s="7" t="inlineStr">
        <is>
          <t>percent</t>
        </is>
      </c>
      <c r="F31" s="17" t="n">
        <v>0.1</v>
      </c>
      <c r="G31" s="17" t="n">
        <v>0.098</v>
      </c>
      <c r="H31" s="17" t="n">
        <v>0.095</v>
      </c>
      <c r="I31" s="7" t="inlineStr">
        <is>
          <t>Inventory support is set below whole-company peers because the launch leverages Stanley's existing supply base, but it still charges explicit inventory build as the platform scales.</t>
        </is>
      </c>
    </row>
    <row r="32">
      <c r="A32" s="7" t="inlineStr">
        <is>
          <t>04_05_option_2_opex</t>
        </is>
      </c>
      <c r="B32" s="10" t="inlineStr">
        <is>
          <t>Receivables support as % of sales</t>
        </is>
      </c>
      <c r="C32" s="10" t="inlineStr">
        <is>
          <t>derived_estimate</t>
        </is>
      </c>
      <c r="D32" s="7" t="inlineStr">
        <is>
          <t>FC04|FC07</t>
        </is>
      </c>
      <c r="E32" s="7" t="inlineStr">
        <is>
          <t>percent</t>
        </is>
      </c>
      <c r="F32" s="17" t="n">
        <v>0.016</v>
      </c>
      <c r="G32" s="17" t="n">
        <v>0.018</v>
      </c>
      <c r="H32" s="17" t="n">
        <v>0.02</v>
      </c>
      <c r="I32" s="7" t="inlineStr">
        <is>
          <t>Receivables support starts low because the launch is DTC-first, then rises as wholesale mix expands.</t>
        </is>
      </c>
    </row>
    <row r="33">
      <c r="A33" s="7" t="inlineStr">
        <is>
          <t>04_05_option_2_opex</t>
        </is>
      </c>
      <c r="B33" s="10" t="inlineStr">
        <is>
          <t>Payables offset as % of sales</t>
        </is>
      </c>
      <c r="C33" s="10" t="inlineStr">
        <is>
          <t>derived_estimate</t>
        </is>
      </c>
      <c r="D33" s="7" t="inlineStr">
        <is>
          <t>FC03|FC06|FC07</t>
        </is>
      </c>
      <c r="E33" s="7" t="inlineStr">
        <is>
          <t>percent</t>
        </is>
      </c>
      <c r="F33" s="17" t="n">
        <v>0.038</v>
      </c>
      <c r="G33" s="17" t="n">
        <v>0.04</v>
      </c>
      <c r="H33" s="17" t="n">
        <v>0.041</v>
      </c>
      <c r="I33" s="7" t="inlineStr">
        <is>
          <t>Supplier terms offset part of the working-capital burden rather than forcing the model to fund inventory and receivables with no payables support.</t>
        </is>
      </c>
    </row>
    <row r="34">
      <c r="A34" s="7" t="inlineStr">
        <is>
          <t>04_05_option_2_opex</t>
        </is>
      </c>
      <c r="B34" s="12" t="inlineStr">
        <is>
          <t>Capex if needed</t>
        </is>
      </c>
      <c r="C34" s="12" t="inlineStr">
        <is>
          <t>assumption</t>
        </is>
      </c>
      <c r="D34" s="7" t="inlineStr">
        <is>
          <t>LC09|LC10|FC06</t>
        </is>
      </c>
      <c r="E34" s="7" t="inlineStr">
        <is>
          <t>usd</t>
        </is>
      </c>
      <c r="F34" s="21" t="n">
        <v>3000000</v>
      </c>
      <c r="G34" s="21" t="n">
        <v>2000000</v>
      </c>
      <c r="H34" s="21" t="n">
        <v>1500000</v>
      </c>
      <c r="I34" s="7" t="inlineStr">
        <is>
          <t>Light operations and systems support, not major manufacturing buildout.</t>
        </is>
      </c>
    </row>
    <row r="35">
      <c r="A35" s="7" t="inlineStr">
        <is>
          <t>07_option_1_light_case</t>
        </is>
      </c>
      <c r="B35" s="10" t="inlineStr">
        <is>
          <t>Target premium market pool</t>
        </is>
      </c>
      <c r="C35" s="10" t="inlineStr">
        <is>
          <t>derived_estimate</t>
        </is>
      </c>
      <c r="D35" s="7" t="inlineStr">
        <is>
          <t>LC01|LC09</t>
        </is>
      </c>
      <c r="E35" s="7" t="inlineStr">
        <is>
          <t>usd</t>
        </is>
      </c>
      <c r="F35" s="11" t="n">
        <v>1800000000</v>
      </c>
      <c r="G35" s="11" t="n">
        <v>2000000000</v>
      </c>
      <c r="H35" s="11" t="n">
        <v>2200000000</v>
      </c>
      <c r="I35" s="7" t="inlineStr">
        <is>
          <t>Single new-region premium adjacency pool.</t>
        </is>
      </c>
    </row>
    <row r="36">
      <c r="A36" s="7" t="inlineStr">
        <is>
          <t>07_option_1_light_case</t>
        </is>
      </c>
      <c r="B36" s="12" t="inlineStr">
        <is>
          <t>Entry ramp</t>
        </is>
      </c>
      <c r="C36" s="12" t="inlineStr">
        <is>
          <t>assumption</t>
        </is>
      </c>
      <c r="D36" s="7" t="inlineStr">
        <is>
          <t>LC01|LC02</t>
        </is>
      </c>
      <c r="E36" s="7" t="inlineStr">
        <is>
          <t>percent</t>
        </is>
      </c>
      <c r="F36" s="13" t="n">
        <v>0.005</v>
      </c>
      <c r="G36" s="13" t="n">
        <v>0.012</v>
      </c>
      <c r="H36" s="13" t="n">
        <v>0.02</v>
      </c>
      <c r="I36" s="7" t="inlineStr">
        <is>
          <t>Slow scale due to distributor and market-entry friction.</t>
        </is>
      </c>
    </row>
    <row r="37">
      <c r="A37" s="7" t="inlineStr">
        <is>
          <t>07_option_1_light_case</t>
        </is>
      </c>
      <c r="B37" s="12" t="inlineStr">
        <is>
          <t>Local pricing factor</t>
        </is>
      </c>
      <c r="C37" s="12" t="inlineStr">
        <is>
          <t>assumption</t>
        </is>
      </c>
      <c r="D37" s="7" t="inlineStr">
        <is>
          <t>LC01|EC06</t>
        </is>
      </c>
      <c r="E37" s="7" t="inlineStr">
        <is>
          <t>factor</t>
        </is>
      </c>
      <c r="F37" s="19" t="n">
        <v>0.95</v>
      </c>
      <c r="G37" s="19" t="n">
        <v>0.95</v>
      </c>
      <c r="H37" s="19" t="n">
        <v>0.96</v>
      </c>
      <c r="I37" s="7" t="inlineStr">
        <is>
          <t>Localized pricing relative to U.S. MSRP anchor.</t>
        </is>
      </c>
    </row>
    <row r="38">
      <c r="A38" s="7" t="inlineStr">
        <is>
          <t>07_option_1_light_case</t>
        </is>
      </c>
      <c r="B38" s="12" t="inlineStr">
        <is>
          <t>Distributor / partner take</t>
        </is>
      </c>
      <c r="C38" s="12" t="inlineStr">
        <is>
          <t>assumption</t>
        </is>
      </c>
      <c r="D38" s="7" t="inlineStr">
        <is>
          <t>LC01</t>
        </is>
      </c>
      <c r="E38" s="7" t="inlineStr">
        <is>
          <t>percent</t>
        </is>
      </c>
      <c r="F38" s="13" t="n">
        <v>0.28</v>
      </c>
      <c r="G38" s="13" t="n">
        <v>0.28</v>
      </c>
      <c r="H38" s="13" t="n">
        <v>0.28</v>
      </c>
      <c r="I38" s="7" t="inlineStr">
        <is>
          <t>Partner margin and entry structure for new market.</t>
        </is>
      </c>
    </row>
    <row r="39">
      <c r="A39" s="7" t="inlineStr">
        <is>
          <t>07_option_1_light_case</t>
        </is>
      </c>
      <c r="B39" s="10" t="inlineStr">
        <is>
          <t>Contribution margin before tariff / FX</t>
        </is>
      </c>
      <c r="C39" s="10" t="inlineStr">
        <is>
          <t>derived_estimate</t>
        </is>
      </c>
      <c r="D39" s="7" t="inlineStr">
        <is>
          <t>FC02|FC04|FC05</t>
        </is>
      </c>
      <c r="E39" s="7" t="inlineStr">
        <is>
          <t>percent</t>
        </is>
      </c>
      <c r="F39" s="17" t="n">
        <v>0.2</v>
      </c>
      <c r="G39" s="17" t="n">
        <v>0.22</v>
      </c>
      <c r="H39" s="17" t="n">
        <v>0.24</v>
      </c>
      <c r="I39" s="7" t="inlineStr">
        <is>
          <t>Pre-tariff margin potential in a premium new-market case.</t>
        </is>
      </c>
    </row>
    <row r="40">
      <c r="A40" s="7" t="inlineStr">
        <is>
          <t>07_option_1_light_case</t>
        </is>
      </c>
      <c r="B40" s="10" t="inlineStr">
        <is>
          <t>Tariff + FX load</t>
        </is>
      </c>
      <c r="C40" s="10" t="inlineStr">
        <is>
          <t>derived_estimate</t>
        </is>
      </c>
      <c r="D40" s="7" t="inlineStr">
        <is>
          <t>FC01</t>
        </is>
      </c>
      <c r="E40" s="7" t="inlineStr">
        <is>
          <t>percent</t>
        </is>
      </c>
      <c r="F40" s="17" t="n">
        <v>0.08</v>
      </c>
      <c r="G40" s="17" t="n">
        <v>0.08</v>
      </c>
      <c r="H40" s="17" t="n">
        <v>0.07000000000000001</v>
      </c>
      <c r="I40" s="7" t="inlineStr">
        <is>
          <t>Combined landed-cost and FX drag.</t>
        </is>
      </c>
    </row>
    <row r="41">
      <c r="A41" s="7" t="inlineStr">
        <is>
          <t>07_option_1_light_case</t>
        </is>
      </c>
      <c r="B41" s="12" t="inlineStr">
        <is>
          <t>Market entry cost</t>
        </is>
      </c>
      <c r="C41" s="12" t="inlineStr">
        <is>
          <t>assumption</t>
        </is>
      </c>
      <c r="D41" s="7" t="inlineStr">
        <is>
          <t>LC09|LC10</t>
        </is>
      </c>
      <c r="E41" s="7" t="inlineStr">
        <is>
          <t>usd</t>
        </is>
      </c>
      <c r="F41" s="21" t="n">
        <v>18000000</v>
      </c>
      <c r="G41" s="21" t="n">
        <v>10000000</v>
      </c>
      <c r="H41" s="21" t="n">
        <v>7000000</v>
      </c>
      <c r="I41" s="7" t="inlineStr">
        <is>
          <t>Front-loaded investment in localization, partners, and market launch.</t>
        </is>
      </c>
    </row>
    <row r="42">
      <c r="A42" s="7" t="inlineStr">
        <is>
          <t>08_option_3_light_case</t>
        </is>
      </c>
      <c r="B42" s="10" t="inlineStr">
        <is>
          <t>Target segment spend pool</t>
        </is>
      </c>
      <c r="C42" s="10" t="inlineStr">
        <is>
          <t>derived_estimate</t>
        </is>
      </c>
      <c r="D42" s="7" t="inlineStr">
        <is>
          <t>LC09|LC10|EC06|EC07</t>
        </is>
      </c>
      <c r="E42" s="7" t="inlineStr">
        <is>
          <t>usd</t>
        </is>
      </c>
      <c r="F42" s="11" t="n">
        <v>850000000</v>
      </c>
      <c r="G42" s="11" t="n">
        <v>900000000</v>
      </c>
      <c r="H42" s="11" t="n">
        <v>960000000</v>
      </c>
      <c r="I42" s="7" t="inlineStr">
        <is>
          <t>Focused segment opportunity in existing markets.</t>
        </is>
      </c>
    </row>
    <row r="43">
      <c r="A43" s="7" t="inlineStr">
        <is>
          <t>08_option_3_light_case</t>
        </is>
      </c>
      <c r="B43" s="12" t="inlineStr">
        <is>
          <t>Segment penetration</t>
        </is>
      </c>
      <c r="C43" s="12" t="inlineStr">
        <is>
          <t>assumption</t>
        </is>
      </c>
      <c r="D43" s="7" t="inlineStr">
        <is>
          <t>LC09|LC10</t>
        </is>
      </c>
      <c r="E43" s="7" t="inlineStr">
        <is>
          <t>percent</t>
        </is>
      </c>
      <c r="F43" s="13" t="n">
        <v>0.01</v>
      </c>
      <c r="G43" s="13" t="n">
        <v>0.018</v>
      </c>
      <c r="H43" s="13" t="n">
        <v>0.028</v>
      </c>
      <c r="I43" s="7" t="inlineStr">
        <is>
          <t>Share capture from sharpened segment focus.</t>
        </is>
      </c>
    </row>
    <row r="44">
      <c r="A44" s="7" t="inlineStr">
        <is>
          <t>08_option_3_light_case</t>
        </is>
      </c>
      <c r="B44" s="12" t="inlineStr">
        <is>
          <t>Conversion lift factor</t>
        </is>
      </c>
      <c r="C44" s="12" t="inlineStr">
        <is>
          <t>assumption</t>
        </is>
      </c>
      <c r="D44" s="7" t="inlineStr">
        <is>
          <t>EC06|EC07</t>
        </is>
      </c>
      <c r="E44" s="7" t="inlineStr">
        <is>
          <t>factor</t>
        </is>
      </c>
      <c r="F44" s="19" t="n">
        <v>1.05</v>
      </c>
      <c r="G44" s="19" t="n">
        <v>1.06</v>
      </c>
      <c r="H44" s="19" t="n">
        <v>1.08</v>
      </c>
      <c r="I44" s="7" t="inlineStr">
        <is>
          <t>Improved conversion from tighter segment relevance.</t>
        </is>
      </c>
    </row>
    <row r="45">
      <c r="A45" s="7" t="inlineStr">
        <is>
          <t>08_option_3_light_case</t>
        </is>
      </c>
      <c r="B45" s="10" t="inlineStr">
        <is>
          <t>Marketing spend as % of sales</t>
        </is>
      </c>
      <c r="C45" s="10" t="inlineStr">
        <is>
          <t>derived_estimate</t>
        </is>
      </c>
      <c r="D45" s="7" t="inlineStr">
        <is>
          <t>FC02|FC04|FC05|DC01</t>
        </is>
      </c>
      <c r="E45" s="7" t="inlineStr">
        <is>
          <t>percent</t>
        </is>
      </c>
      <c r="F45" s="17" t="n">
        <v>0.12</v>
      </c>
      <c r="G45" s="17" t="n">
        <v>0.11</v>
      </c>
      <c r="H45" s="17" t="n">
        <v>0.11</v>
      </c>
      <c r="I45" s="7" t="inlineStr">
        <is>
          <t>Higher early spend to build awareness in the segment, but still inside public peer reinvestment guardrails.</t>
        </is>
      </c>
    </row>
    <row r="46">
      <c r="A46" s="7" t="inlineStr">
        <is>
          <t>08_option_3_light_case</t>
        </is>
      </c>
      <c r="B46" s="10" t="inlineStr">
        <is>
          <t>Contribution margin before marketing</t>
        </is>
      </c>
      <c r="C46" s="10" t="inlineStr">
        <is>
          <t>derived_estimate</t>
        </is>
      </c>
      <c r="D46" s="7" t="inlineStr">
        <is>
          <t>FC02|FC04|FC05</t>
        </is>
      </c>
      <c r="E46" s="7" t="inlineStr">
        <is>
          <t>percent</t>
        </is>
      </c>
      <c r="F46" s="17" t="n">
        <v>0.36</v>
      </c>
      <c r="G46" s="17" t="n">
        <v>0.37</v>
      </c>
      <c r="H46" s="17" t="n">
        <v>0.38</v>
      </c>
      <c r="I46" s="7" t="inlineStr">
        <is>
          <t>Higher contribution from leveraging existing footprint.</t>
        </is>
      </c>
    </row>
    <row r="47">
      <c r="A47" s="7" t="inlineStr">
        <is>
          <t>08_option_3_light_case</t>
        </is>
      </c>
      <c r="B47" s="12" t="inlineStr">
        <is>
          <t>Assortment adaptation cost</t>
        </is>
      </c>
      <c r="C47" s="12" t="inlineStr">
        <is>
          <t>assumption</t>
        </is>
      </c>
      <c r="D47" s="7" t="inlineStr">
        <is>
          <t>LC09|LC10</t>
        </is>
      </c>
      <c r="E47" s="7" t="inlineStr">
        <is>
          <t>usd</t>
        </is>
      </c>
      <c r="F47" s="21" t="n">
        <v>7000000</v>
      </c>
      <c r="G47" s="21" t="n">
        <v>4000000</v>
      </c>
      <c r="H47" s="21" t="n">
        <v>2000000</v>
      </c>
      <c r="I47" s="7" t="inlineStr">
        <is>
          <t>Upfront product, messaging, and channel adaptation.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Stanley Baseline</t>
        </is>
      </c>
    </row>
    <row r="2">
      <c r="A2" s="2" t="inlineStr">
        <is>
          <t>Baseline context used for scale, status quo bridge, and finance framing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value</t>
        </is>
      </c>
      <c r="E4" s="5" t="inlineStr">
        <is>
          <t>unit</t>
        </is>
      </c>
      <c r="F4" s="5" t="inlineStr">
        <is>
          <t>logic</t>
        </is>
      </c>
      <c r="G4" s="5" t="inlineStr"/>
      <c r="H4" s="5" t="inlineStr"/>
      <c r="I4" s="5" t="inlineStr"/>
    </row>
    <row r="5">
      <c r="A5" s="10" t="inlineStr">
        <is>
          <t>Current revenue anchor</t>
        </is>
      </c>
      <c r="B5" s="22" t="inlineStr">
        <is>
          <t>derived_estimate</t>
        </is>
      </c>
      <c r="C5" s="7" t="inlineStr">
        <is>
          <t>FM01</t>
        </is>
      </c>
      <c r="D5" s="11" t="n">
        <v>750000000</v>
      </c>
      <c r="E5" s="7" t="inlineStr">
        <is>
          <t>usd</t>
        </is>
      </c>
      <c r="F5" s="7" t="inlineStr">
        <is>
          <t>Media-reported 2023 sales anchor for Year 0 scale context.</t>
        </is>
      </c>
    </row>
    <row r="6">
      <c r="A6" s="12" t="inlineStr">
        <is>
          <t>Status quo revenue growth</t>
        </is>
      </c>
      <c r="B6" s="23" t="inlineStr">
        <is>
          <t>assumption</t>
        </is>
      </c>
      <c r="C6" s="7" t="inlineStr">
        <is>
          <t>LC09|LC10</t>
        </is>
      </c>
      <c r="D6" s="13" t="n">
        <v>0.025</v>
      </c>
      <c r="E6" s="7" t="inlineStr">
        <is>
          <t>percent</t>
        </is>
      </c>
      <c r="F6" s="7" t="inlineStr">
        <is>
          <t>Moderate mature-brand growth assumption used only to show scale context.</t>
        </is>
      </c>
    </row>
    <row r="7">
      <c r="A7" s="14" t="inlineStr">
        <is>
          <t>Global food storage market size</t>
        </is>
      </c>
      <c r="B7" s="24" t="inlineStr">
        <is>
          <t>hard_fact</t>
        </is>
      </c>
      <c r="C7" s="7" t="inlineStr">
        <is>
          <t>LC01</t>
        </is>
      </c>
      <c r="D7" s="15" t="n">
        <v>173450000000</v>
      </c>
      <c r="E7" s="7" t="inlineStr">
        <is>
          <t>usd</t>
        </is>
      </c>
      <c r="F7" s="7" t="inlineStr">
        <is>
          <t>Case Exhibit D market size.</t>
        </is>
      </c>
    </row>
    <row r="8">
      <c r="A8" s="14" t="inlineStr">
        <is>
          <t>Global food storage market CAGR</t>
        </is>
      </c>
      <c r="B8" s="24" t="inlineStr">
        <is>
          <t>hard_fact</t>
        </is>
      </c>
      <c r="C8" s="7" t="inlineStr">
        <is>
          <t>LC01</t>
        </is>
      </c>
      <c r="D8" s="16" t="n">
        <v>0.046</v>
      </c>
      <c r="E8" s="7" t="inlineStr">
        <is>
          <t>percent</t>
        </is>
      </c>
      <c r="F8" s="7" t="inlineStr">
        <is>
          <t>Case Exhibit D projected 2025-2032 CAGR.</t>
        </is>
      </c>
    </row>
    <row r="9">
      <c r="A9" s="14" t="inlineStr">
        <is>
          <t>APAC market share</t>
        </is>
      </c>
      <c r="B9" s="24" t="inlineStr">
        <is>
          <t>hard_fact</t>
        </is>
      </c>
      <c r="C9" s="7" t="inlineStr">
        <is>
          <t>LC01</t>
        </is>
      </c>
      <c r="D9" s="16" t="n">
        <v>0.3676</v>
      </c>
      <c r="E9" s="7" t="inlineStr">
        <is>
          <t>percent</t>
        </is>
      </c>
      <c r="F9" s="7" t="inlineStr">
        <is>
          <t>Case industry overview regional market share.</t>
        </is>
      </c>
    </row>
    <row r="10">
      <c r="A10" s="10" t="inlineStr">
        <is>
          <t>Reference premium-peer gross margin</t>
        </is>
      </c>
      <c r="B10" s="22" t="inlineStr">
        <is>
          <t>derived_estimate</t>
        </is>
      </c>
      <c r="C10" s="7" t="inlineStr">
        <is>
          <t>FC02|FC04|LC01</t>
        </is>
      </c>
      <c r="D10" s="17" t="n">
        <v>0.57</v>
      </c>
      <c r="E10" s="7" t="inlineStr">
        <is>
          <t>percent</t>
        </is>
      </c>
      <c r="F10" s="7" t="inlineStr">
        <is>
          <t>Reference point for Stanley baseline economics based on premium peer set.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Option 2 Revenue Build</t>
        </is>
      </c>
    </row>
    <row r="2">
      <c r="A2" s="2" t="inlineStr">
        <is>
          <t>Driver-based revenue model for premium portable meal / foodware platform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year_1</t>
        </is>
      </c>
      <c r="E4" s="5" t="inlineStr">
        <is>
          <t>year_2</t>
        </is>
      </c>
      <c r="F4" s="5" t="inlineStr">
        <is>
          <t>year_3</t>
        </is>
      </c>
      <c r="G4" s="5" t="inlineStr">
        <is>
          <t>year_4</t>
        </is>
      </c>
      <c r="H4" s="5" t="inlineStr">
        <is>
          <t>year_5</t>
        </is>
      </c>
      <c r="I4" s="5" t="inlineStr">
        <is>
          <t>logic</t>
        </is>
      </c>
    </row>
    <row r="5">
      <c r="A5" s="12" t="inlineStr">
        <is>
          <t>SKU count</t>
        </is>
      </c>
      <c r="B5" s="23" t="inlineStr">
        <is>
          <t>assumption</t>
        </is>
      </c>
      <c r="C5" s="7" t="inlineStr">
        <is>
          <t>LC09|LC10|SC04|SC05|SC06</t>
        </is>
      </c>
      <c r="D5" s="18" t="n">
        <v>3</v>
      </c>
      <c r="E5" s="18" t="n">
        <v>5</v>
      </c>
      <c r="F5" s="18" t="n">
        <v>6</v>
      </c>
      <c r="G5" s="18" t="n">
        <v>7</v>
      </c>
      <c r="H5" s="18" t="n">
        <v>8</v>
      </c>
      <c r="I5" s="7" t="inlineStr">
        <is>
          <t>Platform starts with core meal system launch and expands selectively.</t>
        </is>
      </c>
    </row>
    <row r="6">
      <c r="A6" s="12" t="inlineStr">
        <is>
          <t>Launch timing factor</t>
        </is>
      </c>
      <c r="B6" s="23" t="inlineStr">
        <is>
          <t>assumption</t>
        </is>
      </c>
      <c r="C6" s="7" t="inlineStr">
        <is>
          <t>LC02|EC04</t>
        </is>
      </c>
      <c r="D6" s="19" t="n">
        <v>0.5</v>
      </c>
      <c r="E6" s="19" t="n">
        <v>0.85</v>
      </c>
      <c r="F6" s="19" t="n">
        <v>1</v>
      </c>
      <c r="G6" s="19" t="n">
        <v>1</v>
      </c>
      <c r="H6" s="19" t="n">
        <v>1</v>
      </c>
      <c r="I6" s="7" t="inlineStr">
        <is>
          <t>Half-year launch in Year 1, ramp-up in Year 2, full year from Year 3 onward.</t>
        </is>
      </c>
    </row>
    <row r="7">
      <c r="A7" s="12" t="inlineStr">
        <is>
          <t>Units per SKU</t>
        </is>
      </c>
      <c r="B7" s="23" t="inlineStr">
        <is>
          <t>assumption</t>
        </is>
      </c>
      <c r="C7" s="7" t="inlineStr">
        <is>
          <t>LC09|LC10|EC06|EC07</t>
        </is>
      </c>
      <c r="D7" s="18" t="n">
        <v>180000</v>
      </c>
      <c r="E7" s="18" t="n">
        <v>220000</v>
      </c>
      <c r="F7" s="18" t="n">
        <v>260000</v>
      </c>
      <c r="G7" s="18" t="n">
        <v>290000</v>
      </c>
      <c r="H7" s="18" t="n">
        <v>320000</v>
      </c>
      <c r="I7" s="7" t="inlineStr">
        <is>
          <t>Conservative-to-moderate volume ramp for adjacent premium line.</t>
        </is>
      </c>
    </row>
    <row r="8">
      <c r="A8" s="10" t="inlineStr">
        <is>
          <t>MSRP / ASP anchor</t>
        </is>
      </c>
      <c r="B8" s="22" t="inlineStr">
        <is>
          <t>derived_estimate</t>
        </is>
      </c>
      <c r="C8" s="7" t="inlineStr">
        <is>
          <t>SC06|SC09|SC10</t>
        </is>
      </c>
      <c r="D8" s="25" t="n">
        <v>42</v>
      </c>
      <c r="E8" s="25" t="n">
        <v>43</v>
      </c>
      <c r="F8" s="25" t="n">
        <v>44</v>
      </c>
      <c r="G8" s="25" t="n">
        <v>45</v>
      </c>
      <c r="H8" s="25" t="n">
        <v>46</v>
      </c>
      <c r="I8" s="7" t="inlineStr">
        <is>
          <t>Anchored to current Stanley premium drinkware and foodware price ladder.</t>
        </is>
      </c>
    </row>
    <row r="9">
      <c r="A9" s="10" t="inlineStr">
        <is>
          <t>DTC mix</t>
        </is>
      </c>
      <c r="B9" s="22" t="inlineStr">
        <is>
          <t>derived_estimate</t>
        </is>
      </c>
      <c r="C9" s="7" t="inlineStr">
        <is>
          <t>FC03|FC06|PC01|EC08|DC01</t>
        </is>
      </c>
      <c r="D9" s="17" t="n">
        <v>0.52</v>
      </c>
      <c r="E9" s="17" t="n">
        <v>0.48</v>
      </c>
      <c r="F9" s="17" t="n">
        <v>0.44</v>
      </c>
      <c r="G9" s="17" t="n">
        <v>0.4</v>
      </c>
      <c r="H9" s="17" t="n">
        <v>0.38</v>
      </c>
      <c r="I9" s="7" t="inlineStr">
        <is>
          <t>Launch stays DTC-first versus public premium-peer channel mix, then broadens wholesale as the platform scales.</t>
        </is>
      </c>
    </row>
    <row r="10">
      <c r="A10" s="10" t="inlineStr">
        <is>
          <t>Wholesale realization factor</t>
        </is>
      </c>
      <c r="B10" s="22" t="inlineStr">
        <is>
          <t>derived_estimate</t>
        </is>
      </c>
      <c r="C10" s="7" t="inlineStr">
        <is>
          <t>LC09|FC02|FC04</t>
        </is>
      </c>
      <c r="D10" s="20" t="n">
        <v>0.68</v>
      </c>
      <c r="E10" s="20" t="n">
        <v>0.68</v>
      </c>
      <c r="F10" s="20" t="n">
        <v>0.68</v>
      </c>
      <c r="G10" s="20" t="n">
        <v>0.68</v>
      </c>
      <c r="H10" s="20" t="n">
        <v>0.68</v>
      </c>
      <c r="I10" s="7" t="inlineStr">
        <is>
          <t>Implied realized price vs. MSRP in partner channels.</t>
        </is>
      </c>
    </row>
    <row r="11">
      <c r="A11" s="12" t="inlineStr">
        <is>
          <t>Promo discount</t>
        </is>
      </c>
      <c r="B11" s="23" t="inlineStr">
        <is>
          <t>assumption</t>
        </is>
      </c>
      <c r="C11" s="7" t="inlineStr">
        <is>
          <t>EC06|EC07</t>
        </is>
      </c>
      <c r="D11" s="13" t="n">
        <v>0.08</v>
      </c>
      <c r="E11" s="13" t="n">
        <v>0.07000000000000001</v>
      </c>
      <c r="F11" s="13" t="n">
        <v>0.07000000000000001</v>
      </c>
      <c r="G11" s="13" t="n">
        <v>0.06</v>
      </c>
      <c r="H11" s="13" t="n">
        <v>0.06</v>
      </c>
      <c r="I11" s="7" t="inlineStr">
        <is>
          <t>Modest promo support, improving as line matures.</t>
        </is>
      </c>
    </row>
    <row r="12">
      <c r="A12" s="12" t="inlineStr">
        <is>
          <t>Returns rate</t>
        </is>
      </c>
      <c r="B12" s="23" t="inlineStr">
        <is>
          <t>assumption</t>
        </is>
      </c>
      <c r="C12" s="7" t="inlineStr">
        <is>
          <t>LC09|LC10</t>
        </is>
      </c>
      <c r="D12" s="13" t="n">
        <v>0.03</v>
      </c>
      <c r="E12" s="13" t="n">
        <v>0.03</v>
      </c>
      <c r="F12" s="13" t="n">
        <v>0.025</v>
      </c>
      <c r="G12" s="13" t="n">
        <v>0.025</v>
      </c>
      <c r="H12" s="13" t="n">
        <v>0.025</v>
      </c>
      <c r="I12" s="7" t="inlineStr">
        <is>
          <t>Reasonable returns assumption for premium consumer hardgoods.</t>
        </is>
      </c>
    </row>
    <row r="13">
      <c r="A13" s="10" t="inlineStr">
        <is>
          <t>Bundle penetration</t>
        </is>
      </c>
      <c r="B13" s="22" t="inlineStr">
        <is>
          <t>derived_estimate</t>
        </is>
      </c>
      <c r="C13" s="7" t="inlineStr">
        <is>
          <t>SC06|SC15|SC16|SC17|SC18|SC19|SC20</t>
        </is>
      </c>
      <c r="D13" s="17" t="n">
        <v>0.12</v>
      </c>
      <c r="E13" s="17" t="n">
        <v>0.16</v>
      </c>
      <c r="F13" s="17" t="n">
        <v>0.2</v>
      </c>
      <c r="G13" s="17" t="n">
        <v>0.22</v>
      </c>
      <c r="H13" s="17" t="n">
        <v>0.24</v>
      </c>
      <c r="I13" s="7" t="inlineStr">
        <is>
          <t>Share of core orders that convert into a multi-component system purchase, anchored to official cross-sell and set design evidence.</t>
        </is>
      </c>
    </row>
    <row r="14">
      <c r="A14" s="12" t="inlineStr">
        <is>
          <t>Attach rate</t>
        </is>
      </c>
      <c r="B14" s="23" t="inlineStr">
        <is>
          <t>assumption</t>
        </is>
      </c>
      <c r="C14" s="7" t="inlineStr">
        <is>
          <t>LC09|LC10|SC04</t>
        </is>
      </c>
      <c r="D14" s="19" t="n">
        <v>0.9</v>
      </c>
      <c r="E14" s="19" t="n">
        <v>1</v>
      </c>
      <c r="F14" s="19" t="n">
        <v>1.05</v>
      </c>
      <c r="G14" s="19" t="n">
        <v>1.1</v>
      </c>
      <c r="H14" s="19" t="n">
        <v>1.15</v>
      </c>
      <c r="I14" s="7" t="inlineStr">
        <is>
          <t>Average attached item count when bundle behavior occurs.</t>
        </is>
      </c>
    </row>
    <row r="15">
      <c r="A15" s="12" t="inlineStr">
        <is>
          <t>Attach ASP factor</t>
        </is>
      </c>
      <c r="B15" s="23" t="inlineStr">
        <is>
          <t>assumption</t>
        </is>
      </c>
      <c r="C15" s="7" t="inlineStr">
        <is>
          <t>SC05|SC06|SC09|SC10</t>
        </is>
      </c>
      <c r="D15" s="19" t="n">
        <v>0.45</v>
      </c>
      <c r="E15" s="19" t="n">
        <v>0.45</v>
      </c>
      <c r="F15" s="19" t="n">
        <v>0.45</v>
      </c>
      <c r="G15" s="19" t="n">
        <v>0.45</v>
      </c>
      <c r="H15" s="19" t="n">
        <v>0.45</v>
      </c>
      <c r="I15" s="7" t="inlineStr">
        <is>
          <t>Attached item value as a share of core-line ASP.</t>
        </is>
      </c>
    </row>
    <row r="16">
      <c r="A16" s="3" t="inlineStr">
        <is>
          <t>Gross units sold</t>
        </is>
      </c>
      <c r="B16" s="26" t="inlineStr">
        <is>
          <t>formula</t>
        </is>
      </c>
      <c r="C16" s="26" t="n"/>
      <c r="D16" s="27">
        <f>D5*D6*D7</f>
        <v/>
      </c>
      <c r="E16" s="27">
        <f>E5*E6*E7</f>
        <v/>
      </c>
      <c r="F16" s="27">
        <f>F5*F6*F7</f>
        <v/>
      </c>
      <c r="G16" s="27">
        <f>G5*G6*G7</f>
        <v/>
      </c>
      <c r="H16" s="27">
        <f>H5*H6*H7</f>
        <v/>
      </c>
      <c r="I16" s="26" t="inlineStr">
        <is>
          <t>sku_count * launch_timing * units_per_sku</t>
        </is>
      </c>
    </row>
    <row r="17">
      <c r="A17" s="3" t="inlineStr">
        <is>
          <t>DTC units</t>
        </is>
      </c>
      <c r="B17" s="26" t="inlineStr">
        <is>
          <t>formula</t>
        </is>
      </c>
      <c r="C17" s="26" t="n"/>
      <c r="D17" s="27">
        <f>D16*D9</f>
        <v/>
      </c>
      <c r="E17" s="27">
        <f>E16*E9</f>
        <v/>
      </c>
      <c r="F17" s="27">
        <f>F16*F9</f>
        <v/>
      </c>
      <c r="G17" s="27">
        <f>G16*G9</f>
        <v/>
      </c>
      <c r="H17" s="27">
        <f>H16*H9</f>
        <v/>
      </c>
      <c r="I17" s="26" t="inlineStr">
        <is>
          <t>gross_units * dtc_mix</t>
        </is>
      </c>
    </row>
    <row r="18">
      <c r="A18" s="3" t="inlineStr">
        <is>
          <t>Wholesale units</t>
        </is>
      </c>
      <c r="B18" s="26" t="inlineStr">
        <is>
          <t>formula</t>
        </is>
      </c>
      <c r="C18" s="26" t="n"/>
      <c r="D18" s="27">
        <f>D16*(1-D9)</f>
        <v/>
      </c>
      <c r="E18" s="27">
        <f>E16*(1-E9)</f>
        <v/>
      </c>
      <c r="F18" s="27">
        <f>F16*(1-F9)</f>
        <v/>
      </c>
      <c r="G18" s="27">
        <f>G16*(1-G9)</f>
        <v/>
      </c>
      <c r="H18" s="27">
        <f>H16*(1-H9)</f>
        <v/>
      </c>
      <c r="I18" s="26" t="inlineStr">
        <is>
          <t>gross_units * (1 - dtc_mix)</t>
        </is>
      </c>
    </row>
    <row r="19">
      <c r="A19" s="3" t="inlineStr">
        <is>
          <t>Realized ASP DTC</t>
        </is>
      </c>
      <c r="B19" s="26" t="inlineStr">
        <is>
          <t>formula</t>
        </is>
      </c>
      <c r="C19" s="26" t="n"/>
      <c r="D19" s="28">
        <f>D8*(1-D11)*(1-D12)</f>
        <v/>
      </c>
      <c r="E19" s="28">
        <f>E8*(1-E11)*(1-E12)</f>
        <v/>
      </c>
      <c r="F19" s="28">
        <f>F8*(1-F11)*(1-F12)</f>
        <v/>
      </c>
      <c r="G19" s="28">
        <f>G8*(1-G11)*(1-G12)</f>
        <v/>
      </c>
      <c r="H19" s="28">
        <f>H8*(1-H11)*(1-H12)</f>
        <v/>
      </c>
      <c r="I19" s="26" t="inlineStr">
        <is>
          <t>asp * (1 - promo_discount) * (1 - returns)</t>
        </is>
      </c>
    </row>
    <row r="20">
      <c r="A20" s="3" t="inlineStr">
        <is>
          <t>Realized ASP wholesale</t>
        </is>
      </c>
      <c r="B20" s="26" t="inlineStr">
        <is>
          <t>formula</t>
        </is>
      </c>
      <c r="C20" s="26" t="n"/>
      <c r="D20" s="28">
        <f>D8*D10*(1-D12)</f>
        <v/>
      </c>
      <c r="E20" s="28">
        <f>E8*E10*(1-E12)</f>
        <v/>
      </c>
      <c r="F20" s="28">
        <f>F8*F10*(1-F12)</f>
        <v/>
      </c>
      <c r="G20" s="28">
        <f>G8*G10*(1-G12)</f>
        <v/>
      </c>
      <c r="H20" s="28">
        <f>H8*H10*(1-H12)</f>
        <v/>
      </c>
      <c r="I20" s="26" t="inlineStr">
        <is>
          <t>asp * wholesale_realization * (1 - returns)</t>
        </is>
      </c>
    </row>
    <row r="21">
      <c r="A21" s="3" t="inlineStr">
        <is>
          <t>Base sales</t>
        </is>
      </c>
      <c r="B21" s="26" t="inlineStr">
        <is>
          <t>formula</t>
        </is>
      </c>
      <c r="C21" s="26" t="n"/>
      <c r="D21" s="29">
        <f>D17*D19+D18*D20</f>
        <v/>
      </c>
      <c r="E21" s="29">
        <f>E17*E19+E18*E20</f>
        <v/>
      </c>
      <c r="F21" s="29">
        <f>F17*F19+F18*F20</f>
        <v/>
      </c>
      <c r="G21" s="29">
        <f>G17*G19+G18*G20</f>
        <v/>
      </c>
      <c r="H21" s="29">
        <f>H17*H19+H18*H20</f>
        <v/>
      </c>
      <c r="I21" s="26" t="inlineStr">
        <is>
          <t>dtc_units * realized_asp_dtc + wholesale_units * realized_asp_wholesale</t>
        </is>
      </c>
    </row>
    <row r="22">
      <c r="A22" s="3" t="inlineStr">
        <is>
          <t>Attached units</t>
        </is>
      </c>
      <c r="B22" s="26" t="inlineStr">
        <is>
          <t>formula</t>
        </is>
      </c>
      <c r="C22" s="26" t="n"/>
      <c r="D22" s="27">
        <f>D16*D13*D14</f>
        <v/>
      </c>
      <c r="E22" s="27">
        <f>E16*E13*E14</f>
        <v/>
      </c>
      <c r="F22" s="27">
        <f>F16*F13*F14</f>
        <v/>
      </c>
      <c r="G22" s="27">
        <f>G16*G13*G14</f>
        <v/>
      </c>
      <c r="H22" s="27">
        <f>H16*H13*H14</f>
        <v/>
      </c>
      <c r="I22" s="26" t="inlineStr">
        <is>
          <t>gross_units * bundle_penetration * attach_rate</t>
        </is>
      </c>
    </row>
    <row r="23">
      <c r="A23" s="3" t="inlineStr">
        <is>
          <t>Attach ASP</t>
        </is>
      </c>
      <c r="B23" s="26" t="inlineStr">
        <is>
          <t>formula</t>
        </is>
      </c>
      <c r="C23" s="26" t="n"/>
      <c r="D23" s="28">
        <f>D8*D15</f>
        <v/>
      </c>
      <c r="E23" s="28">
        <f>E8*E15</f>
        <v/>
      </c>
      <c r="F23" s="28">
        <f>F8*F15</f>
        <v/>
      </c>
      <c r="G23" s="28">
        <f>G8*G15</f>
        <v/>
      </c>
      <c r="H23" s="28">
        <f>H8*H15</f>
        <v/>
      </c>
      <c r="I23" s="26" t="inlineStr">
        <is>
          <t>asp * attach_asp_factor</t>
        </is>
      </c>
    </row>
    <row r="24">
      <c r="A24" s="3" t="inlineStr">
        <is>
          <t>Bundle sales</t>
        </is>
      </c>
      <c r="B24" s="26" t="inlineStr">
        <is>
          <t>formula</t>
        </is>
      </c>
      <c r="C24" s="26" t="n"/>
      <c r="D24" s="29">
        <f>D22*D23</f>
        <v/>
      </c>
      <c r="E24" s="29">
        <f>E22*E23</f>
        <v/>
      </c>
      <c r="F24" s="29">
        <f>F22*F23</f>
        <v/>
      </c>
      <c r="G24" s="29">
        <f>G22*G23</f>
        <v/>
      </c>
      <c r="H24" s="29">
        <f>H22*H23</f>
        <v/>
      </c>
      <c r="I24" s="26" t="inlineStr">
        <is>
          <t>attached_units * attach_asp</t>
        </is>
      </c>
    </row>
    <row r="25">
      <c r="A25" s="3" t="inlineStr">
        <is>
          <t>Net sales</t>
        </is>
      </c>
      <c r="B25" s="26" t="inlineStr">
        <is>
          <t>formula</t>
        </is>
      </c>
      <c r="C25" s="26" t="n"/>
      <c r="D25" s="29">
        <f>D21+D24</f>
        <v/>
      </c>
      <c r="E25" s="29">
        <f>E21+E24</f>
        <v/>
      </c>
      <c r="F25" s="29">
        <f>F21+F24</f>
        <v/>
      </c>
      <c r="G25" s="29">
        <f>G21+G24</f>
        <v/>
      </c>
      <c r="H25" s="29">
        <f>H21+H24</f>
        <v/>
      </c>
      <c r="I25" s="26" t="inlineStr">
        <is>
          <t>base_sales + bundle_sales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Option 2 Cost Build</t>
        </is>
      </c>
    </row>
    <row r="2">
      <c r="A2" s="2" t="inlineStr">
        <is>
          <t>Gross margin, opex, and cash bridge for the recommended platform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year_1</t>
        </is>
      </c>
      <c r="E4" s="5" t="inlineStr">
        <is>
          <t>year_2</t>
        </is>
      </c>
      <c r="F4" s="5" t="inlineStr">
        <is>
          <t>year_3</t>
        </is>
      </c>
      <c r="G4" s="5" t="inlineStr">
        <is>
          <t>year_4</t>
        </is>
      </c>
      <c r="H4" s="5" t="inlineStr">
        <is>
          <t>year_5</t>
        </is>
      </c>
      <c r="I4" s="5" t="inlineStr">
        <is>
          <t>logic</t>
        </is>
      </c>
    </row>
    <row r="5">
      <c r="A5" s="10" t="inlineStr">
        <is>
          <t>Unit COGS</t>
        </is>
      </c>
      <c r="B5" s="22" t="inlineStr">
        <is>
          <t>derived_estimate</t>
        </is>
      </c>
      <c r="C5" s="7" t="inlineStr">
        <is>
          <t>FC02|FC04|FC05</t>
        </is>
      </c>
      <c r="D5" s="25" t="n">
        <v>10.5</v>
      </c>
      <c r="E5" s="25" t="n">
        <v>10.7</v>
      </c>
      <c r="F5" s="25" t="n">
        <v>10.9</v>
      </c>
      <c r="G5" s="25" t="n">
        <v>11.2</v>
      </c>
      <c r="H5" s="25" t="n">
        <v>11.5</v>
      </c>
      <c r="I5" s="7" t="inlineStr">
        <is>
          <t>Premium insulated foodware cost base anchored to peer margin range.</t>
        </is>
      </c>
    </row>
    <row r="6">
      <c r="A6" s="12" t="inlineStr">
        <is>
          <t>Packaging per unit</t>
        </is>
      </c>
      <c r="B6" s="23" t="inlineStr">
        <is>
          <t>assumption</t>
        </is>
      </c>
      <c r="C6" s="7" t="inlineStr">
        <is>
          <t>MC01</t>
        </is>
      </c>
      <c r="D6" s="30" t="n">
        <v>1.2</v>
      </c>
      <c r="E6" s="30" t="n">
        <v>1.2</v>
      </c>
      <c r="F6" s="30" t="n">
        <v>1.25</v>
      </c>
      <c r="G6" s="30" t="n">
        <v>1.25</v>
      </c>
      <c r="H6" s="30" t="n">
        <v>1.3</v>
      </c>
      <c r="I6" s="7" t="inlineStr">
        <is>
          <t>Premium packaging with sustainability-aware design choices.</t>
        </is>
      </c>
    </row>
    <row r="7">
      <c r="A7" s="12" t="inlineStr">
        <is>
          <t>Freight per unit</t>
        </is>
      </c>
      <c r="B7" s="23" t="inlineStr">
        <is>
          <t>assumption</t>
        </is>
      </c>
      <c r="C7" s="7" t="inlineStr">
        <is>
          <t>FC01|LC01</t>
        </is>
      </c>
      <c r="D7" s="30" t="n">
        <v>1.7</v>
      </c>
      <c r="E7" s="30" t="n">
        <v>1.6</v>
      </c>
      <c r="F7" s="30" t="n">
        <v>1.55</v>
      </c>
      <c r="G7" s="30" t="n">
        <v>1.5</v>
      </c>
      <c r="H7" s="30" t="n">
        <v>1.5</v>
      </c>
      <c r="I7" s="7" t="inlineStr">
        <is>
          <t>Landing costs improve modestly with scale and mix.</t>
        </is>
      </c>
    </row>
    <row r="8">
      <c r="A8" s="10" t="inlineStr">
        <is>
          <t>Tariff load on manufacturing COGS</t>
        </is>
      </c>
      <c r="B8" s="22" t="inlineStr">
        <is>
          <t>derived_estimate</t>
        </is>
      </c>
      <c r="C8" s="7" t="inlineStr">
        <is>
          <t>FC01|LC01</t>
        </is>
      </c>
      <c r="D8" s="17" t="n">
        <v>0.04</v>
      </c>
      <c r="E8" s="17" t="n">
        <v>0.04</v>
      </c>
      <c r="F8" s="17" t="n">
        <v>0.035</v>
      </c>
      <c r="G8" s="17" t="n">
        <v>0.035</v>
      </c>
      <c r="H8" s="17" t="n">
        <v>0.035</v>
      </c>
      <c r="I8" s="7" t="inlineStr">
        <is>
          <t>Partial exposure assumption rather than full tariff pass-through.</t>
        </is>
      </c>
    </row>
    <row r="9">
      <c r="A9" s="12" t="inlineStr">
        <is>
          <t>Promo effect on gross margin</t>
        </is>
      </c>
      <c r="B9" s="23" t="inlineStr">
        <is>
          <t>assumption</t>
        </is>
      </c>
      <c r="C9" s="7" t="inlineStr">
        <is>
          <t>EC06|EC07</t>
        </is>
      </c>
      <c r="D9" s="13" t="n">
        <v>0.01</v>
      </c>
      <c r="E9" s="13" t="n">
        <v>0.01</v>
      </c>
      <c r="F9" s="13" t="n">
        <v>0.008999999999999999</v>
      </c>
      <c r="G9" s="13" t="n">
        <v>0.008999999999999999</v>
      </c>
      <c r="H9" s="13" t="n">
        <v>0.008</v>
      </c>
      <c r="I9" s="7" t="inlineStr">
        <is>
          <t>Gross-margin drag from markdown and channel support.</t>
        </is>
      </c>
    </row>
    <row r="10">
      <c r="A10" s="10" t="inlineStr">
        <is>
          <t>Launch marketing as % of sales</t>
        </is>
      </c>
      <c r="B10" s="22" t="inlineStr">
        <is>
          <t>derived_estimate</t>
        </is>
      </c>
      <c r="C10" s="7" t="inlineStr">
        <is>
          <t>FC02|FC04|FC06|FC07|DC01</t>
        </is>
      </c>
      <c r="D10" s="17" t="n">
        <v>0.13</v>
      </c>
      <c r="E10" s="17" t="n">
        <v>0.12</v>
      </c>
      <c r="F10" s="17" t="n">
        <v>0.11</v>
      </c>
      <c r="G10" s="17" t="n">
        <v>0.1</v>
      </c>
      <c r="H10" s="17" t="n">
        <v>0.1</v>
      </c>
      <c r="I10" s="7" t="inlineStr">
        <is>
          <t>Front-loaded launch support kept inside public peer SG&amp;A and reinvestment guardrails.</t>
        </is>
      </c>
    </row>
    <row r="11">
      <c r="A11" s="12" t="inlineStr">
        <is>
          <t>Trade spend as % of sales</t>
        </is>
      </c>
      <c r="B11" s="23" t="inlineStr">
        <is>
          <t>assumption</t>
        </is>
      </c>
      <c r="C11" s="7" t="inlineStr">
        <is>
          <t>LC09|FC05</t>
        </is>
      </c>
      <c r="D11" s="13" t="n">
        <v>0.05</v>
      </c>
      <c r="E11" s="13" t="n">
        <v>0.055</v>
      </c>
      <c r="F11" s="13" t="n">
        <v>0.06</v>
      </c>
      <c r="G11" s="13" t="n">
        <v>0.06</v>
      </c>
      <c r="H11" s="13" t="n">
        <v>0.06</v>
      </c>
      <c r="I11" s="7" t="inlineStr">
        <is>
          <t>Retail enablement and shelf support increases with scale.</t>
        </is>
      </c>
    </row>
    <row r="12">
      <c r="A12" s="12" t="inlineStr">
        <is>
          <t>Incremental SG&amp;A as % of sales</t>
        </is>
      </c>
      <c r="B12" s="23" t="inlineStr">
        <is>
          <t>assumption</t>
        </is>
      </c>
      <c r="C12" s="7" t="inlineStr">
        <is>
          <t>FC02|FC04|FC05|FC06|FC07</t>
        </is>
      </c>
      <c r="D12" s="13" t="n">
        <v>0.04</v>
      </c>
      <c r="E12" s="13" t="n">
        <v>0.04</v>
      </c>
      <c r="F12" s="13" t="n">
        <v>0.042</v>
      </c>
      <c r="G12" s="13" t="n">
        <v>0.043</v>
      </c>
      <c r="H12" s="13" t="n">
        <v>0.044</v>
      </c>
      <c r="I12" s="7" t="inlineStr">
        <is>
          <t>Incremental commercial and support overhead for scaled platform.</t>
        </is>
      </c>
    </row>
    <row r="13">
      <c r="A13" s="12" t="inlineStr">
        <is>
          <t>Design and tooling</t>
        </is>
      </c>
      <c r="B13" s="23" t="inlineStr">
        <is>
          <t>assumption</t>
        </is>
      </c>
      <c r="C13" s="7" t="inlineStr">
        <is>
          <t>LC09|LC10</t>
        </is>
      </c>
      <c r="D13" s="30" t="n">
        <v>8000000</v>
      </c>
      <c r="E13" s="30" t="n">
        <v>4000000</v>
      </c>
      <c r="F13" s="30" t="n">
        <v>3000000</v>
      </c>
      <c r="G13" s="30" t="n">
        <v>2000000</v>
      </c>
      <c r="H13" s="30" t="n">
        <v>2000000</v>
      </c>
      <c r="I13" s="7" t="inlineStr">
        <is>
          <t>Front-loaded development and refresh cadence.</t>
        </is>
      </c>
    </row>
    <row r="14">
      <c r="A14" s="10" t="inlineStr">
        <is>
          <t>Inventory support as % of sales</t>
        </is>
      </c>
      <c r="B14" s="22" t="inlineStr">
        <is>
          <t>derived_estimate</t>
        </is>
      </c>
      <c r="C14" s="7" t="inlineStr">
        <is>
          <t>FC03|FC04|FC06|FC07</t>
        </is>
      </c>
      <c r="D14" s="17" t="n">
        <v>0.1</v>
      </c>
      <c r="E14" s="17" t="n">
        <v>0.098</v>
      </c>
      <c r="F14" s="17" t="n">
        <v>0.095</v>
      </c>
      <c r="G14" s="17" t="n">
        <v>0.093</v>
      </c>
      <c r="H14" s="17" t="n">
        <v>0.09</v>
      </c>
      <c r="I14" s="7" t="inlineStr">
        <is>
          <t>Inventory support is set below whole-company peers because the launch leverages Stanley's existing supply base, but it still charges explicit inventory build as the platform scales.</t>
        </is>
      </c>
    </row>
    <row r="15">
      <c r="A15" s="10" t="inlineStr">
        <is>
          <t>Receivables support as % of sales</t>
        </is>
      </c>
      <c r="B15" s="22" t="inlineStr">
        <is>
          <t>derived_estimate</t>
        </is>
      </c>
      <c r="C15" s="7" t="inlineStr">
        <is>
          <t>FC04|FC07</t>
        </is>
      </c>
      <c r="D15" s="17" t="n">
        <v>0.016</v>
      </c>
      <c r="E15" s="17" t="n">
        <v>0.018</v>
      </c>
      <c r="F15" s="17" t="n">
        <v>0.02</v>
      </c>
      <c r="G15" s="17" t="n">
        <v>0.022</v>
      </c>
      <c r="H15" s="17" t="n">
        <v>0.024</v>
      </c>
      <c r="I15" s="7" t="inlineStr">
        <is>
          <t>Receivables support starts low because the launch is DTC-first, then rises as wholesale mix expands.</t>
        </is>
      </c>
    </row>
    <row r="16">
      <c r="A16" s="10" t="inlineStr">
        <is>
          <t>Payables offset as % of sales</t>
        </is>
      </c>
      <c r="B16" s="22" t="inlineStr">
        <is>
          <t>derived_estimate</t>
        </is>
      </c>
      <c r="C16" s="7" t="inlineStr">
        <is>
          <t>FC03|FC06|FC07</t>
        </is>
      </c>
      <c r="D16" s="17" t="n">
        <v>0.038</v>
      </c>
      <c r="E16" s="17" t="n">
        <v>0.04</v>
      </c>
      <c r="F16" s="17" t="n">
        <v>0.041</v>
      </c>
      <c r="G16" s="17" t="n">
        <v>0.043</v>
      </c>
      <c r="H16" s="17" t="n">
        <v>0.045</v>
      </c>
      <c r="I16" s="7" t="inlineStr">
        <is>
          <t>Supplier terms offset part of the working-capital burden rather than forcing the model to fund inventory and receivables with no payables support.</t>
        </is>
      </c>
    </row>
    <row r="17">
      <c r="A17" s="12" t="inlineStr">
        <is>
          <t>Capex if needed</t>
        </is>
      </c>
      <c r="B17" s="23" t="inlineStr">
        <is>
          <t>assumption</t>
        </is>
      </c>
      <c r="C17" s="7" t="inlineStr">
        <is>
          <t>LC09|LC10|FC06</t>
        </is>
      </c>
      <c r="D17" s="30" t="n">
        <v>3000000</v>
      </c>
      <c r="E17" s="30" t="n">
        <v>2000000</v>
      </c>
      <c r="F17" s="30" t="n">
        <v>1500000</v>
      </c>
      <c r="G17" s="30" t="n">
        <v>1500000</v>
      </c>
      <c r="H17" s="30" t="n">
        <v>1500000</v>
      </c>
      <c r="I17" s="7" t="inlineStr">
        <is>
          <t>Light operations and systems support, not major manufacturing buildout.</t>
        </is>
      </c>
    </row>
    <row r="18">
      <c r="A18" s="3" t="inlineStr">
        <is>
          <t>Total units incl. attached items</t>
        </is>
      </c>
      <c r="B18" s="26" t="inlineStr">
        <is>
          <t>formula</t>
        </is>
      </c>
      <c r="C18" s="26" t="n"/>
      <c r="D18" s="27">
        <f>'04_option_2_revenue_build'!D16+'04_option_2_revenue_build'!D22</f>
        <v/>
      </c>
      <c r="E18" s="27">
        <f>'04_option_2_revenue_build'!E16+'04_option_2_revenue_build'!E22</f>
        <v/>
      </c>
      <c r="F18" s="27">
        <f>'04_option_2_revenue_build'!F16+'04_option_2_revenue_build'!F22</f>
        <v/>
      </c>
      <c r="G18" s="27">
        <f>'04_option_2_revenue_build'!G16+'04_option_2_revenue_build'!G22</f>
        <v/>
      </c>
      <c r="H18" s="27">
        <f>'04_option_2_revenue_build'!H16+'04_option_2_revenue_build'!H22</f>
        <v/>
      </c>
      <c r="I18" s="26" t="inlineStr">
        <is>
          <t>revenue units + attached units</t>
        </is>
      </c>
    </row>
    <row r="19">
      <c r="A19" s="3" t="inlineStr">
        <is>
          <t>Manufacturing COGS</t>
        </is>
      </c>
      <c r="B19" s="26" t="inlineStr">
        <is>
          <t>formula</t>
        </is>
      </c>
      <c r="C19" s="26" t="n"/>
      <c r="D19" s="29">
        <f>D18*D5</f>
        <v/>
      </c>
      <c r="E19" s="29">
        <f>E18*E5</f>
        <v/>
      </c>
      <c r="F19" s="29">
        <f>F18*F5</f>
        <v/>
      </c>
      <c r="G19" s="29">
        <f>G18*G5</f>
        <v/>
      </c>
      <c r="H19" s="29">
        <f>H18*H5</f>
        <v/>
      </c>
      <c r="I19" s="26" t="inlineStr">
        <is>
          <t>total_units * unit_cogs</t>
        </is>
      </c>
    </row>
    <row r="20">
      <c r="A20" s="3" t="inlineStr">
        <is>
          <t>Packaging cost</t>
        </is>
      </c>
      <c r="B20" s="26" t="inlineStr">
        <is>
          <t>formula</t>
        </is>
      </c>
      <c r="C20" s="26" t="n"/>
      <c r="D20" s="29">
        <f>D18*D6</f>
        <v/>
      </c>
      <c r="E20" s="29">
        <f>E18*E6</f>
        <v/>
      </c>
      <c r="F20" s="29">
        <f>F18*F6</f>
        <v/>
      </c>
      <c r="G20" s="29">
        <f>G18*G6</f>
        <v/>
      </c>
      <c r="H20" s="29">
        <f>H18*H6</f>
        <v/>
      </c>
      <c r="I20" s="26" t="inlineStr">
        <is>
          <t>total_units * packaging</t>
        </is>
      </c>
    </row>
    <row r="21">
      <c r="A21" s="3" t="inlineStr">
        <is>
          <t>Freight cost</t>
        </is>
      </c>
      <c r="B21" s="26" t="inlineStr">
        <is>
          <t>formula</t>
        </is>
      </c>
      <c r="C21" s="26" t="n"/>
      <c r="D21" s="29">
        <f>D18*D7</f>
        <v/>
      </c>
      <c r="E21" s="29">
        <f>E18*E7</f>
        <v/>
      </c>
      <c r="F21" s="29">
        <f>F18*F7</f>
        <v/>
      </c>
      <c r="G21" s="29">
        <f>G18*G7</f>
        <v/>
      </c>
      <c r="H21" s="29">
        <f>H18*H7</f>
        <v/>
      </c>
      <c r="I21" s="26" t="inlineStr">
        <is>
          <t>total_units * freight</t>
        </is>
      </c>
    </row>
    <row r="22">
      <c r="A22" s="3" t="inlineStr">
        <is>
          <t>Tariff cost</t>
        </is>
      </c>
      <c r="B22" s="26" t="inlineStr">
        <is>
          <t>formula</t>
        </is>
      </c>
      <c r="C22" s="26" t="n"/>
      <c r="D22" s="29">
        <f>D19*D8</f>
        <v/>
      </c>
      <c r="E22" s="29">
        <f>E19*E8</f>
        <v/>
      </c>
      <c r="F22" s="29">
        <f>F19*F8</f>
        <v/>
      </c>
      <c r="G22" s="29">
        <f>G19*G8</f>
        <v/>
      </c>
      <c r="H22" s="29">
        <f>H19*H8</f>
        <v/>
      </c>
      <c r="I22" s="26" t="inlineStr">
        <is>
          <t>manufacturing_cogs * tariff_load</t>
        </is>
      </c>
    </row>
    <row r="23">
      <c r="A23" s="3" t="inlineStr">
        <is>
          <t>Promo effect cost</t>
        </is>
      </c>
      <c r="B23" s="26" t="inlineStr">
        <is>
          <t>formula</t>
        </is>
      </c>
      <c r="C23" s="26" t="n"/>
      <c r="D23" s="29">
        <f>'04_option_2_revenue_build'!D25*D9</f>
        <v/>
      </c>
      <c r="E23" s="29">
        <f>'04_option_2_revenue_build'!E25*E9</f>
        <v/>
      </c>
      <c r="F23" s="29">
        <f>'04_option_2_revenue_build'!F25*F9</f>
        <v/>
      </c>
      <c r="G23" s="29">
        <f>'04_option_2_revenue_build'!G25*G9</f>
        <v/>
      </c>
      <c r="H23" s="29">
        <f>'04_option_2_revenue_build'!H25*H9</f>
        <v/>
      </c>
      <c r="I23" s="26" t="inlineStr">
        <is>
          <t>net_sales * promo_effect</t>
        </is>
      </c>
    </row>
    <row r="24">
      <c r="A24" s="3" t="inlineStr">
        <is>
          <t>Total COGS</t>
        </is>
      </c>
      <c r="B24" s="26" t="inlineStr">
        <is>
          <t>formula</t>
        </is>
      </c>
      <c r="C24" s="26" t="n"/>
      <c r="D24" s="29">
        <f>D19+D20+D21+D22+D23</f>
        <v/>
      </c>
      <c r="E24" s="29">
        <f>E19+E20+E21+E22+E23</f>
        <v/>
      </c>
      <c r="F24" s="29">
        <f>F19+F20+F21+F22+F23</f>
        <v/>
      </c>
      <c r="G24" s="29">
        <f>G19+G20+G21+G22+G23</f>
        <v/>
      </c>
      <c r="H24" s="29">
        <f>H19+H20+H21+H22+H23</f>
        <v/>
      </c>
      <c r="I24" s="26" t="inlineStr">
        <is>
          <t>sum cost components</t>
        </is>
      </c>
    </row>
    <row r="25">
      <c r="A25" s="3" t="inlineStr">
        <is>
          <t>Gross profit</t>
        </is>
      </c>
      <c r="B25" s="26" t="inlineStr">
        <is>
          <t>formula</t>
        </is>
      </c>
      <c r="C25" s="26" t="n"/>
      <c r="D25" s="29">
        <f>'04_option_2_revenue_build'!D25-D24</f>
        <v/>
      </c>
      <c r="E25" s="29">
        <f>'04_option_2_revenue_build'!E25-E24</f>
        <v/>
      </c>
      <c r="F25" s="29">
        <f>'04_option_2_revenue_build'!F25-F24</f>
        <v/>
      </c>
      <c r="G25" s="29">
        <f>'04_option_2_revenue_build'!G25-G24</f>
        <v/>
      </c>
      <c r="H25" s="29">
        <f>'04_option_2_revenue_build'!H25-H24</f>
        <v/>
      </c>
      <c r="I25" s="26" t="inlineStr">
        <is>
          <t>net_sales - total_cogs</t>
        </is>
      </c>
    </row>
    <row r="26">
      <c r="A26" s="3" t="inlineStr">
        <is>
          <t>Gross margin</t>
        </is>
      </c>
      <c r="B26" s="26" t="inlineStr">
        <is>
          <t>formula</t>
        </is>
      </c>
      <c r="C26" s="26" t="n"/>
      <c r="D26" s="31">
        <f>IF('04_option_2_revenue_build'!D25=0,0,D25/'04_option_2_revenue_build'!D25)</f>
        <v/>
      </c>
      <c r="E26" s="31">
        <f>IF('04_option_2_revenue_build'!E25=0,0,E25/'04_option_2_revenue_build'!E25)</f>
        <v/>
      </c>
      <c r="F26" s="31">
        <f>IF('04_option_2_revenue_build'!F25=0,0,F25/'04_option_2_revenue_build'!F25)</f>
        <v/>
      </c>
      <c r="G26" s="31">
        <f>IF('04_option_2_revenue_build'!G25=0,0,G25/'04_option_2_revenue_build'!G25)</f>
        <v/>
      </c>
      <c r="H26" s="31">
        <f>IF('04_option_2_revenue_build'!H25=0,0,H25/'04_option_2_revenue_build'!H25)</f>
        <v/>
      </c>
      <c r="I26" s="26" t="inlineStr">
        <is>
          <t>gross_profit / net_sales</t>
        </is>
      </c>
    </row>
    <row r="27">
      <c r="A27" s="3" t="inlineStr">
        <is>
          <t>Launch marketing $</t>
        </is>
      </c>
      <c r="B27" s="26" t="inlineStr">
        <is>
          <t>formula</t>
        </is>
      </c>
      <c r="C27" s="26" t="n"/>
      <c r="D27" s="29">
        <f>'04_option_2_revenue_build'!D25*D10</f>
        <v/>
      </c>
      <c r="E27" s="29">
        <f>'04_option_2_revenue_build'!E25*E10</f>
        <v/>
      </c>
      <c r="F27" s="29">
        <f>'04_option_2_revenue_build'!F25*F10</f>
        <v/>
      </c>
      <c r="G27" s="29">
        <f>'04_option_2_revenue_build'!G25*G10</f>
        <v/>
      </c>
      <c r="H27" s="29">
        <f>'04_option_2_revenue_build'!H25*H10</f>
        <v/>
      </c>
      <c r="I27" s="26" t="inlineStr">
        <is>
          <t>net_sales * launch_marketing</t>
        </is>
      </c>
    </row>
    <row r="28">
      <c r="A28" s="3" t="inlineStr">
        <is>
          <t>Trade spend $</t>
        </is>
      </c>
      <c r="B28" s="26" t="inlineStr">
        <is>
          <t>formula</t>
        </is>
      </c>
      <c r="C28" s="26" t="n"/>
      <c r="D28" s="29">
        <f>'04_option_2_revenue_build'!D25*D11</f>
        <v/>
      </c>
      <c r="E28" s="29">
        <f>'04_option_2_revenue_build'!E25*E11</f>
        <v/>
      </c>
      <c r="F28" s="29">
        <f>'04_option_2_revenue_build'!F25*F11</f>
        <v/>
      </c>
      <c r="G28" s="29">
        <f>'04_option_2_revenue_build'!G25*G11</f>
        <v/>
      </c>
      <c r="H28" s="29">
        <f>'04_option_2_revenue_build'!H25*H11</f>
        <v/>
      </c>
      <c r="I28" s="26" t="inlineStr">
        <is>
          <t>net_sales * trade_spend</t>
        </is>
      </c>
    </row>
    <row r="29">
      <c r="A29" s="3" t="inlineStr">
        <is>
          <t>Incremental SG&amp;A $</t>
        </is>
      </c>
      <c r="B29" s="26" t="inlineStr">
        <is>
          <t>formula</t>
        </is>
      </c>
      <c r="C29" s="26" t="n"/>
      <c r="D29" s="29">
        <f>'04_option_2_revenue_build'!D25*D12</f>
        <v/>
      </c>
      <c r="E29" s="29">
        <f>'04_option_2_revenue_build'!E25*E12</f>
        <v/>
      </c>
      <c r="F29" s="29">
        <f>'04_option_2_revenue_build'!F25*F12</f>
        <v/>
      </c>
      <c r="G29" s="29">
        <f>'04_option_2_revenue_build'!G25*G12</f>
        <v/>
      </c>
      <c r="H29" s="29">
        <f>'04_option_2_revenue_build'!H25*H12</f>
        <v/>
      </c>
      <c r="I29" s="26" t="inlineStr">
        <is>
          <t>net_sales * incremental_sga</t>
        </is>
      </c>
    </row>
    <row r="30">
      <c r="A30" s="3" t="inlineStr">
        <is>
          <t>Contribution profit</t>
        </is>
      </c>
      <c r="B30" s="26" t="inlineStr">
        <is>
          <t>formula</t>
        </is>
      </c>
      <c r="C30" s="26" t="n"/>
      <c r="D30" s="29">
        <f>D25-D27-D28-D29</f>
        <v/>
      </c>
      <c r="E30" s="29">
        <f>E25-E27-E28-E29</f>
        <v/>
      </c>
      <c r="F30" s="29">
        <f>F25-F27-F28-F29</f>
        <v/>
      </c>
      <c r="G30" s="29">
        <f>G25-G27-G28-G29</f>
        <v/>
      </c>
      <c r="H30" s="29">
        <f>H25-H27-H28-H29</f>
        <v/>
      </c>
      <c r="I30" s="26" t="inlineStr">
        <is>
          <t>gross_profit - launch marketing - trade - SG&amp;A</t>
        </is>
      </c>
    </row>
    <row r="31">
      <c r="A31" s="3" t="inlineStr">
        <is>
          <t>Operating profit uplift</t>
        </is>
      </c>
      <c r="B31" s="26" t="inlineStr">
        <is>
          <t>formula</t>
        </is>
      </c>
      <c r="C31" s="26" t="n"/>
      <c r="D31" s="29">
        <f>D30-D13</f>
        <v/>
      </c>
      <c r="E31" s="29">
        <f>E30-E13</f>
        <v/>
      </c>
      <c r="F31" s="29">
        <f>F30-F13</f>
        <v/>
      </c>
      <c r="G31" s="29">
        <f>G30-G13</f>
        <v/>
      </c>
      <c r="H31" s="29">
        <f>H30-H13</f>
        <v/>
      </c>
      <c r="I31" s="26" t="inlineStr">
        <is>
          <t>contribution profit - design and tooling</t>
        </is>
      </c>
    </row>
    <row r="32">
      <c r="A32" s="3" t="inlineStr">
        <is>
          <t>Inventory support investment</t>
        </is>
      </c>
      <c r="B32" s="26" t="inlineStr">
        <is>
          <t>formula</t>
        </is>
      </c>
      <c r="C32" s="26" t="n"/>
      <c r="D32" s="29">
        <f>'04_option_2_revenue_build'!D25*D14</f>
        <v/>
      </c>
      <c r="E32" s="29">
        <f>'04_option_2_revenue_build'!E25*E14</f>
        <v/>
      </c>
      <c r="F32" s="29">
        <f>'04_option_2_revenue_build'!F25*F14</f>
        <v/>
      </c>
      <c r="G32" s="29">
        <f>'04_option_2_revenue_build'!G25*G14</f>
        <v/>
      </c>
      <c r="H32" s="29">
        <f>'04_option_2_revenue_build'!H25*H14</f>
        <v/>
      </c>
      <c r="I32" s="26" t="inlineStr">
        <is>
          <t>net_sales * inventory support</t>
        </is>
      </c>
    </row>
    <row r="33">
      <c r="A33" s="3" t="inlineStr">
        <is>
          <t>Receivables support investment</t>
        </is>
      </c>
      <c r="B33" s="26" t="inlineStr">
        <is>
          <t>formula</t>
        </is>
      </c>
      <c r="C33" s="26" t="n"/>
      <c r="D33" s="29">
        <f>'04_option_2_revenue_build'!D25*D15</f>
        <v/>
      </c>
      <c r="E33" s="29">
        <f>'04_option_2_revenue_build'!E25*E15</f>
        <v/>
      </c>
      <c r="F33" s="29">
        <f>'04_option_2_revenue_build'!F25*F15</f>
        <v/>
      </c>
      <c r="G33" s="29">
        <f>'04_option_2_revenue_build'!G25*G15</f>
        <v/>
      </c>
      <c r="H33" s="29">
        <f>'04_option_2_revenue_build'!H25*H15</f>
        <v/>
      </c>
      <c r="I33" s="26" t="inlineStr">
        <is>
          <t>net_sales * receivables support</t>
        </is>
      </c>
    </row>
    <row r="34">
      <c r="A34" s="3" t="inlineStr">
        <is>
          <t>Payables offset</t>
        </is>
      </c>
      <c r="B34" s="26" t="inlineStr">
        <is>
          <t>formula</t>
        </is>
      </c>
      <c r="C34" s="26" t="n"/>
      <c r="D34" s="29">
        <f>'04_option_2_revenue_build'!D25*D16</f>
        <v/>
      </c>
      <c r="E34" s="29">
        <f>'04_option_2_revenue_build'!E25*E16</f>
        <v/>
      </c>
      <c r="F34" s="29">
        <f>'04_option_2_revenue_build'!F25*F16</f>
        <v/>
      </c>
      <c r="G34" s="29">
        <f>'04_option_2_revenue_build'!G25*G16</f>
        <v/>
      </c>
      <c r="H34" s="29">
        <f>'04_option_2_revenue_build'!H25*H16</f>
        <v/>
      </c>
      <c r="I34" s="26" t="inlineStr">
        <is>
          <t>net_sales * payables offset</t>
        </is>
      </c>
    </row>
    <row r="35">
      <c r="A35" s="3" t="inlineStr">
        <is>
          <t>Working capital investment</t>
        </is>
      </c>
      <c r="B35" s="26" t="inlineStr">
        <is>
          <t>formula</t>
        </is>
      </c>
      <c r="C35" s="26" t="n"/>
      <c r="D35" s="29">
        <f>D32+D33-D34</f>
        <v/>
      </c>
      <c r="E35" s="29">
        <f>E32+E33-E34</f>
        <v/>
      </c>
      <c r="F35" s="29">
        <f>F32+F33-F34</f>
        <v/>
      </c>
      <c r="G35" s="29">
        <f>G32+G33-G34</f>
        <v/>
      </c>
      <c r="H35" s="29">
        <f>H32+H33-H34</f>
        <v/>
      </c>
      <c r="I35" s="26" t="inlineStr">
        <is>
          <t>inventory + receivables - payables</t>
        </is>
      </c>
    </row>
    <row r="36">
      <c r="A36" s="3" t="inlineStr">
        <is>
          <t>Net cash impact</t>
        </is>
      </c>
      <c r="B36" s="26" t="inlineStr">
        <is>
          <t>formula</t>
        </is>
      </c>
      <c r="C36" s="26" t="n"/>
      <c r="D36" s="29">
        <f>D31-D35-D17</f>
        <v/>
      </c>
      <c r="E36" s="29">
        <f>E31-E35-E17</f>
        <v/>
      </c>
      <c r="F36" s="29">
        <f>F31-F35-F17</f>
        <v/>
      </c>
      <c r="G36" s="29">
        <f>G31-G35-G17</f>
        <v/>
      </c>
      <c r="H36" s="29">
        <f>H31-H35-H17</f>
        <v/>
      </c>
      <c r="I36" s="26" t="inlineStr">
        <is>
          <t>operating profit uplift - working capital - capex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Option 2 5-Year P&amp;L</t>
        </is>
      </c>
    </row>
    <row r="2">
      <c r="A2" s="2" t="inlineStr">
        <is>
          <t>Headline economics for deck and Q&amp;A use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year_1</t>
        </is>
      </c>
      <c r="E4" s="5" t="inlineStr">
        <is>
          <t>year_2</t>
        </is>
      </c>
      <c r="F4" s="5" t="inlineStr">
        <is>
          <t>year_3</t>
        </is>
      </c>
      <c r="G4" s="5" t="inlineStr">
        <is>
          <t>year_4</t>
        </is>
      </c>
      <c r="H4" s="5" t="inlineStr">
        <is>
          <t>year_5</t>
        </is>
      </c>
      <c r="I4" s="5" t="inlineStr">
        <is>
          <t>logic</t>
        </is>
      </c>
    </row>
    <row r="5">
      <c r="A5" s="3" t="inlineStr">
        <is>
          <t>Status quo revenue</t>
        </is>
      </c>
      <c r="B5" s="26" t="inlineStr">
        <is>
          <t>formula</t>
        </is>
      </c>
      <c r="C5" s="26" t="inlineStr">
        <is>
          <t>03_stanley_baseline</t>
        </is>
      </c>
      <c r="D5" s="29">
        <f>'03_stanley_baseline'!D5*(1+'03_stanley_baseline'!D6)</f>
        <v/>
      </c>
      <c r="E5" s="29">
        <f>D5*(1+'03_stanley_baseline'!D6)</f>
        <v/>
      </c>
      <c r="F5" s="29">
        <f>E5*(1+'03_stanley_baseline'!D6)</f>
        <v/>
      </c>
      <c r="G5" s="29">
        <f>F5*(1+'03_stanley_baseline'!D6)</f>
        <v/>
      </c>
      <c r="H5" s="29">
        <f>G5*(1+'03_stanley_baseline'!D6)</f>
        <v/>
      </c>
      <c r="I5" s="26" t="inlineStr">
        <is>
          <t>baseline anchor rolled forward</t>
        </is>
      </c>
    </row>
    <row r="6">
      <c r="A6" s="3" t="inlineStr">
        <is>
          <t>Option 2 incremental sales</t>
        </is>
      </c>
      <c r="B6" s="26" t="inlineStr">
        <is>
          <t>formula</t>
        </is>
      </c>
      <c r="C6" s="26" t="inlineStr">
        <is>
          <t>04_option_2_revenue_build</t>
        </is>
      </c>
      <c r="D6" s="29">
        <f>'04_option_2_revenue_build'!D25</f>
        <v/>
      </c>
      <c r="E6" s="29">
        <f>'04_option_2_revenue_build'!E25</f>
        <v/>
      </c>
      <c r="F6" s="29">
        <f>'04_option_2_revenue_build'!F25</f>
        <v/>
      </c>
      <c r="G6" s="29">
        <f>'04_option_2_revenue_build'!G25</f>
        <v/>
      </c>
      <c r="H6" s="29">
        <f>'04_option_2_revenue_build'!H25</f>
        <v/>
      </c>
      <c r="I6" s="26" t="inlineStr">
        <is>
          <t>net sales from revenue build</t>
        </is>
      </c>
    </row>
    <row r="7">
      <c r="A7" s="3" t="inlineStr">
        <is>
          <t>Implied company revenue with Option 2</t>
        </is>
      </c>
      <c r="B7" s="26" t="inlineStr">
        <is>
          <t>formula</t>
        </is>
      </c>
      <c r="C7" s="26" t="inlineStr">
        <is>
          <t>06_option_2_5yr_pnl</t>
        </is>
      </c>
      <c r="D7" s="29">
        <f>D5+D6</f>
        <v/>
      </c>
      <c r="E7" s="29">
        <f>E5+E6</f>
        <v/>
      </c>
      <c r="F7" s="29">
        <f>F5+F6</f>
        <v/>
      </c>
      <c r="G7" s="29">
        <f>G5+G6</f>
        <v/>
      </c>
      <c r="H7" s="29">
        <f>H5+H6</f>
        <v/>
      </c>
      <c r="I7" s="26" t="inlineStr">
        <is>
          <t>status quo + incremental</t>
        </is>
      </c>
    </row>
    <row r="8">
      <c r="A8" s="3" t="inlineStr">
        <is>
          <t>Incremental sales as % of status quo</t>
        </is>
      </c>
      <c r="B8" s="26" t="inlineStr">
        <is>
          <t>formula</t>
        </is>
      </c>
      <c r="C8" s="26" t="inlineStr">
        <is>
          <t>06_option_2_5yr_pnl</t>
        </is>
      </c>
      <c r="D8" s="31">
        <f>IF(D5=0,0,D6/D5)</f>
        <v/>
      </c>
      <c r="E8" s="31">
        <f>IF(E5=0,0,E6/E5)</f>
        <v/>
      </c>
      <c r="F8" s="31">
        <f>IF(F5=0,0,F6/F5)</f>
        <v/>
      </c>
      <c r="G8" s="31">
        <f>IF(G5=0,0,G6/G5)</f>
        <v/>
      </c>
      <c r="H8" s="31">
        <f>IF(H5=0,0,H6/H5)</f>
        <v/>
      </c>
      <c r="I8" s="26" t="inlineStr">
        <is>
          <t>incremental / status quo</t>
        </is>
      </c>
    </row>
    <row r="9">
      <c r="A9" s="3" t="inlineStr">
        <is>
          <t>Gross profit</t>
        </is>
      </c>
      <c r="B9" s="26" t="inlineStr">
        <is>
          <t>formula</t>
        </is>
      </c>
      <c r="C9" s="26" t="inlineStr">
        <is>
          <t>05_option_2_cost_build</t>
        </is>
      </c>
      <c r="D9" s="29">
        <f>'05_option_2_cost_build'!D23</f>
        <v/>
      </c>
      <c r="E9" s="29">
        <f>'05_option_2_cost_build'!E23</f>
        <v/>
      </c>
      <c r="F9" s="29">
        <f>'05_option_2_cost_build'!F23</f>
        <v/>
      </c>
      <c r="G9" s="29">
        <f>'05_option_2_cost_build'!G23</f>
        <v/>
      </c>
      <c r="H9" s="29">
        <f>'05_option_2_cost_build'!H23</f>
        <v/>
      </c>
      <c r="I9" s="26" t="inlineStr">
        <is>
          <t>from cost build</t>
        </is>
      </c>
    </row>
    <row r="10">
      <c r="A10" s="3" t="inlineStr">
        <is>
          <t>Gross margin</t>
        </is>
      </c>
      <c r="B10" s="26" t="inlineStr">
        <is>
          <t>formula</t>
        </is>
      </c>
      <c r="C10" s="26" t="inlineStr">
        <is>
          <t>05_option_2_cost_build</t>
        </is>
      </c>
      <c r="D10" s="31">
        <f>'05_option_2_cost_build'!D24</f>
        <v/>
      </c>
      <c r="E10" s="31">
        <f>'05_option_2_cost_build'!E24</f>
        <v/>
      </c>
      <c r="F10" s="31">
        <f>'05_option_2_cost_build'!F24</f>
        <v/>
      </c>
      <c r="G10" s="31">
        <f>'05_option_2_cost_build'!G24</f>
        <v/>
      </c>
      <c r="H10" s="31">
        <f>'05_option_2_cost_build'!H24</f>
        <v/>
      </c>
      <c r="I10" s="26" t="inlineStr">
        <is>
          <t>gross profit / net sales</t>
        </is>
      </c>
    </row>
    <row r="11">
      <c r="A11" s="3" t="inlineStr">
        <is>
          <t>Operating profit uplift</t>
        </is>
      </c>
      <c r="B11" s="26" t="inlineStr">
        <is>
          <t>formula</t>
        </is>
      </c>
      <c r="C11" s="26" t="inlineStr">
        <is>
          <t>05_option_2_cost_build</t>
        </is>
      </c>
      <c r="D11" s="29">
        <f>'05_option_2_cost_build'!D29</f>
        <v/>
      </c>
      <c r="E11" s="29">
        <f>'05_option_2_cost_build'!E29</f>
        <v/>
      </c>
      <c r="F11" s="29">
        <f>'05_option_2_cost_build'!F29</f>
        <v/>
      </c>
      <c r="G11" s="29">
        <f>'05_option_2_cost_build'!G29</f>
        <v/>
      </c>
      <c r="H11" s="29">
        <f>'05_option_2_cost_build'!H29</f>
        <v/>
      </c>
      <c r="I11" s="26" t="inlineStr">
        <is>
          <t>from cost build</t>
        </is>
      </c>
    </row>
    <row r="12">
      <c r="A12" s="3" t="inlineStr">
        <is>
          <t>Net cash impact</t>
        </is>
      </c>
      <c r="B12" s="26" t="inlineStr">
        <is>
          <t>formula</t>
        </is>
      </c>
      <c r="C12" s="26" t="inlineStr">
        <is>
          <t>05_option_2_cost_build</t>
        </is>
      </c>
      <c r="D12" s="29">
        <f>'05_option_2_cost_build'!D31</f>
        <v/>
      </c>
      <c r="E12" s="29">
        <f>'05_option_2_cost_build'!E31</f>
        <v/>
      </c>
      <c r="F12" s="29">
        <f>'05_option_2_cost_build'!F31</f>
        <v/>
      </c>
      <c r="G12" s="29">
        <f>'05_option_2_cost_build'!G31</f>
        <v/>
      </c>
      <c r="H12" s="29">
        <f>'05_option_2_cost_build'!H31</f>
        <v/>
      </c>
      <c r="I12" s="26" t="inlineStr">
        <is>
          <t>after working capital and capex</t>
        </is>
      </c>
    </row>
    <row r="13">
      <c r="A13" s="3" t="inlineStr">
        <is>
          <t>Cumulative cash impact</t>
        </is>
      </c>
      <c r="B13" s="26" t="inlineStr">
        <is>
          <t>formula</t>
        </is>
      </c>
      <c r="C13" s="26" t="inlineStr">
        <is>
          <t>06_option_2_5yr_pnl</t>
        </is>
      </c>
      <c r="D13" s="29">
        <f>D12</f>
        <v/>
      </c>
      <c r="E13" s="29">
        <f>D13+E12</f>
        <v/>
      </c>
      <c r="F13" s="29">
        <f>E13+F12</f>
        <v/>
      </c>
      <c r="G13" s="29">
        <f>F13+G12</f>
        <v/>
      </c>
      <c r="H13" s="29">
        <f>G13+H12</f>
        <v/>
      </c>
      <c r="I13" s="26" t="inlineStr">
        <is>
          <t>running cumulative</t>
        </is>
      </c>
    </row>
    <row r="15">
      <c r="A15" s="3" t="inlineStr">
        <is>
          <t>Payback period (years)</t>
        </is>
      </c>
      <c r="D15" s="32">
        <f>IF(D13&gt;=0,1,IF(E13&gt;=0,2,IF(F13&gt;=0,3,IF(G13&gt;=0,4,IF(H13&gt;=0,5,6)))))</f>
        <v/>
      </c>
    </row>
  </sheetData>
  <mergeCells count="3">
    <mergeCell ref="A1:I1"/>
    <mergeCell ref="A2:I2"/>
    <mergeCell ref="D15:H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Option 1 Light Case</t>
        </is>
      </c>
    </row>
    <row r="2">
      <c r="A2" s="2" t="inlineStr">
        <is>
          <t>International expansion light model for comparison only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year_1</t>
        </is>
      </c>
      <c r="E4" s="5" t="inlineStr">
        <is>
          <t>year_2</t>
        </is>
      </c>
      <c r="F4" s="5" t="inlineStr">
        <is>
          <t>year_3</t>
        </is>
      </c>
      <c r="G4" s="5" t="inlineStr">
        <is>
          <t>year_4</t>
        </is>
      </c>
      <c r="H4" s="5" t="inlineStr">
        <is>
          <t>year_5</t>
        </is>
      </c>
      <c r="I4" s="5" t="inlineStr">
        <is>
          <t>logic</t>
        </is>
      </c>
    </row>
    <row r="5">
      <c r="A5" s="10" t="inlineStr">
        <is>
          <t>Target premium market pool</t>
        </is>
      </c>
      <c r="B5" s="22" t="inlineStr">
        <is>
          <t>derived_estimate</t>
        </is>
      </c>
      <c r="C5" s="7" t="inlineStr">
        <is>
          <t>LC01|LC09</t>
        </is>
      </c>
      <c r="D5" s="11" t="n">
        <v>1800000000</v>
      </c>
      <c r="E5" s="11" t="n">
        <v>2000000000</v>
      </c>
      <c r="F5" s="11" t="n">
        <v>2200000000</v>
      </c>
      <c r="G5" s="11" t="n">
        <v>2400000000</v>
      </c>
      <c r="H5" s="11" t="n">
        <v>2600000000</v>
      </c>
      <c r="I5" s="7" t="inlineStr">
        <is>
          <t>Single new-region premium adjacency pool.</t>
        </is>
      </c>
    </row>
    <row r="6">
      <c r="A6" s="12" t="inlineStr">
        <is>
          <t>Entry ramp</t>
        </is>
      </c>
      <c r="B6" s="23" t="inlineStr">
        <is>
          <t>assumption</t>
        </is>
      </c>
      <c r="C6" s="7" t="inlineStr">
        <is>
          <t>LC01|LC02</t>
        </is>
      </c>
      <c r="D6" s="13" t="n">
        <v>0.005</v>
      </c>
      <c r="E6" s="13" t="n">
        <v>0.012</v>
      </c>
      <c r="F6" s="13" t="n">
        <v>0.02</v>
      </c>
      <c r="G6" s="13" t="n">
        <v>0.03</v>
      </c>
      <c r="H6" s="13" t="n">
        <v>0.045</v>
      </c>
      <c r="I6" s="7" t="inlineStr">
        <is>
          <t>Slow scale due to distributor and market-entry friction.</t>
        </is>
      </c>
    </row>
    <row r="7">
      <c r="A7" s="12" t="inlineStr">
        <is>
          <t>Local pricing factor</t>
        </is>
      </c>
      <c r="B7" s="23" t="inlineStr">
        <is>
          <t>assumption</t>
        </is>
      </c>
      <c r="C7" s="7" t="inlineStr">
        <is>
          <t>LC01|EC06</t>
        </is>
      </c>
      <c r="D7" s="19" t="n">
        <v>0.95</v>
      </c>
      <c r="E7" s="19" t="n">
        <v>0.95</v>
      </c>
      <c r="F7" s="19" t="n">
        <v>0.96</v>
      </c>
      <c r="G7" s="19" t="n">
        <v>0.96</v>
      </c>
      <c r="H7" s="19" t="n">
        <v>0.97</v>
      </c>
      <c r="I7" s="7" t="inlineStr">
        <is>
          <t>Localized pricing relative to U.S. MSRP anchor.</t>
        </is>
      </c>
    </row>
    <row r="8">
      <c r="A8" s="12" t="inlineStr">
        <is>
          <t>Distributor / partner take</t>
        </is>
      </c>
      <c r="B8" s="23" t="inlineStr">
        <is>
          <t>assumption</t>
        </is>
      </c>
      <c r="C8" s="7" t="inlineStr">
        <is>
          <t>LC01</t>
        </is>
      </c>
      <c r="D8" s="13" t="n">
        <v>0.28</v>
      </c>
      <c r="E8" s="13" t="n">
        <v>0.28</v>
      </c>
      <c r="F8" s="13" t="n">
        <v>0.28</v>
      </c>
      <c r="G8" s="13" t="n">
        <v>0.28</v>
      </c>
      <c r="H8" s="13" t="n">
        <v>0.28</v>
      </c>
      <c r="I8" s="7" t="inlineStr">
        <is>
          <t>Partner margin and entry structure for new market.</t>
        </is>
      </c>
    </row>
    <row r="9">
      <c r="A9" s="10" t="inlineStr">
        <is>
          <t>Contribution margin before tariff / FX</t>
        </is>
      </c>
      <c r="B9" s="22" t="inlineStr">
        <is>
          <t>derived_estimate</t>
        </is>
      </c>
      <c r="C9" s="7" t="inlineStr">
        <is>
          <t>FC02|FC04|FC05</t>
        </is>
      </c>
      <c r="D9" s="17" t="n">
        <v>0.2</v>
      </c>
      <c r="E9" s="17" t="n">
        <v>0.22</v>
      </c>
      <c r="F9" s="17" t="n">
        <v>0.24</v>
      </c>
      <c r="G9" s="17" t="n">
        <v>0.25</v>
      </c>
      <c r="H9" s="17" t="n">
        <v>0.26</v>
      </c>
      <c r="I9" s="7" t="inlineStr">
        <is>
          <t>Pre-tariff margin potential in a premium new-market case.</t>
        </is>
      </c>
    </row>
    <row r="10">
      <c r="A10" s="10" t="inlineStr">
        <is>
          <t>Tariff + FX load</t>
        </is>
      </c>
      <c r="B10" s="22" t="inlineStr">
        <is>
          <t>derived_estimate</t>
        </is>
      </c>
      <c r="C10" s="7" t="inlineStr">
        <is>
          <t>FC01</t>
        </is>
      </c>
      <c r="D10" s="17" t="n">
        <v>0.08</v>
      </c>
      <c r="E10" s="17" t="n">
        <v>0.08</v>
      </c>
      <c r="F10" s="17" t="n">
        <v>0.07000000000000001</v>
      </c>
      <c r="G10" s="17" t="n">
        <v>0.07000000000000001</v>
      </c>
      <c r="H10" s="17" t="n">
        <v>0.06</v>
      </c>
      <c r="I10" s="7" t="inlineStr">
        <is>
          <t>Combined landed-cost and FX drag.</t>
        </is>
      </c>
    </row>
    <row r="11">
      <c r="A11" s="12" t="inlineStr">
        <is>
          <t>Market entry cost</t>
        </is>
      </c>
      <c r="B11" s="23" t="inlineStr">
        <is>
          <t>assumption</t>
        </is>
      </c>
      <c r="C11" s="7" t="inlineStr">
        <is>
          <t>LC09|LC10</t>
        </is>
      </c>
      <c r="D11" s="21" t="n">
        <v>18000000</v>
      </c>
      <c r="E11" s="21" t="n">
        <v>10000000</v>
      </c>
      <c r="F11" s="21" t="n">
        <v>7000000</v>
      </c>
      <c r="G11" s="21" t="n">
        <v>5000000</v>
      </c>
      <c r="H11" s="21" t="n">
        <v>4000000</v>
      </c>
      <c r="I11" s="7" t="inlineStr">
        <is>
          <t>Front-loaded investment in localization, partners, and market launch.</t>
        </is>
      </c>
    </row>
    <row r="12">
      <c r="A12" s="3" t="inlineStr">
        <is>
          <t>Net sales</t>
        </is>
      </c>
      <c r="B12" s="26" t="inlineStr">
        <is>
          <t>formula</t>
        </is>
      </c>
      <c r="C12" s="26" t="n"/>
      <c r="D12" s="29">
        <f>D5*D6*D7*(1-D8)</f>
        <v/>
      </c>
      <c r="E12" s="29">
        <f>E5*E6*E7*(1-E8)</f>
        <v/>
      </c>
      <c r="F12" s="29">
        <f>F5*F6*F7*(1-F8)</f>
        <v/>
      </c>
      <c r="G12" s="29">
        <f>G5*G6*G7*(1-G8)</f>
        <v/>
      </c>
      <c r="H12" s="29">
        <f>H5*H6*H7*(1-H8)</f>
        <v/>
      </c>
      <c r="I12" s="26" t="inlineStr">
        <is>
          <t>target_market_size * entry_ramp * local_pricing * (1 - distributor_take)</t>
        </is>
      </c>
    </row>
    <row r="13">
      <c r="A13" s="3" t="inlineStr">
        <is>
          <t>Operating margin %</t>
        </is>
      </c>
      <c r="B13" s="26" t="inlineStr">
        <is>
          <t>formula</t>
        </is>
      </c>
      <c r="C13" s="26" t="n"/>
      <c r="D13" s="31">
        <f>D9-D10</f>
        <v/>
      </c>
      <c r="E13" s="31">
        <f>E9-E10</f>
        <v/>
      </c>
      <c r="F13" s="31">
        <f>F9-F10</f>
        <v/>
      </c>
      <c r="G13" s="31">
        <f>G9-G10</f>
        <v/>
      </c>
      <c r="H13" s="31">
        <f>H9-H10</f>
        <v/>
      </c>
      <c r="I13" s="26" t="inlineStr">
        <is>
          <t>contribution_margin - tariff_fx_load</t>
        </is>
      </c>
    </row>
    <row r="14">
      <c r="A14" s="3" t="inlineStr">
        <is>
          <t>Operating profit</t>
        </is>
      </c>
      <c r="B14" s="26" t="inlineStr">
        <is>
          <t>formula</t>
        </is>
      </c>
      <c r="C14" s="26" t="n"/>
      <c r="D14" s="29">
        <f>D12*D13-D11</f>
        <v/>
      </c>
      <c r="E14" s="29">
        <f>E12*E13-E11</f>
        <v/>
      </c>
      <c r="F14" s="29">
        <f>F12*F13-F11</f>
        <v/>
      </c>
      <c r="G14" s="29">
        <f>G12*G13-G11</f>
        <v/>
      </c>
      <c r="H14" s="29">
        <f>H12*H13-H11</f>
        <v/>
      </c>
      <c r="I14" s="26" t="inlineStr">
        <is>
          <t>net sales * operating margin - market entry cost</t>
        </is>
      </c>
    </row>
    <row r="15">
      <c r="A15" s="3" t="inlineStr">
        <is>
          <t>Cumulative profit</t>
        </is>
      </c>
      <c r="B15" s="26" t="inlineStr">
        <is>
          <t>formula</t>
        </is>
      </c>
      <c r="C15" s="26" t="n"/>
      <c r="D15" s="29">
        <f>D14</f>
        <v/>
      </c>
      <c r="E15" s="29">
        <f>D15+E14</f>
        <v/>
      </c>
      <c r="F15" s="29">
        <f>E15+F14</f>
        <v/>
      </c>
      <c r="G15" s="29">
        <f>F15+G14</f>
        <v/>
      </c>
      <c r="H15" s="29">
        <f>G15+H14</f>
        <v/>
      </c>
      <c r="I15" s="26" t="inlineStr">
        <is>
          <t>running cumulative</t>
        </is>
      </c>
    </row>
    <row r="16">
      <c r="A16" s="3" t="inlineStr">
        <is>
          <t>Payback read</t>
        </is>
      </c>
      <c r="D16" s="6">
        <f>IF(D15&gt;=0,1,IF(E15&gt;=0,2,IF(F15&gt;=0,3,IF(G15&gt;=0,4,IF(H15&gt;=0,5,"&gt;5")))))</f>
        <v/>
      </c>
    </row>
    <row r="18">
      <c r="A18" s="3" t="inlineStr">
        <is>
          <t>Top risks</t>
        </is>
      </c>
      <c r="B18" s="7" t="inlineStr">
        <is>
          <t>Top risks: tariff / FX volatility, distributor dependence, slower local demand build.</t>
        </is>
      </c>
    </row>
  </sheetData>
  <mergeCells count="4">
    <mergeCell ref="A1:I1"/>
    <mergeCell ref="A2:I2"/>
    <mergeCell ref="B18:I18"/>
    <mergeCell ref="D16:H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Option 3 Light Case</t>
        </is>
      </c>
    </row>
    <row r="2">
      <c r="A2" s="2" t="inlineStr">
        <is>
          <t>New market segment light model for comparison only</t>
        </is>
      </c>
    </row>
    <row r="4">
      <c r="A4" s="5" t="inlineStr">
        <is>
          <t>metric</t>
        </is>
      </c>
      <c r="B4" s="5" t="inlineStr">
        <is>
          <t>classification</t>
        </is>
      </c>
      <c r="C4" s="5" t="inlineStr">
        <is>
          <t>source_ids</t>
        </is>
      </c>
      <c r="D4" s="5" t="inlineStr">
        <is>
          <t>year_1</t>
        </is>
      </c>
      <c r="E4" s="5" t="inlineStr">
        <is>
          <t>year_2</t>
        </is>
      </c>
      <c r="F4" s="5" t="inlineStr">
        <is>
          <t>year_3</t>
        </is>
      </c>
      <c r="G4" s="5" t="inlineStr">
        <is>
          <t>year_4</t>
        </is>
      </c>
      <c r="H4" s="5" t="inlineStr">
        <is>
          <t>year_5</t>
        </is>
      </c>
      <c r="I4" s="5" t="inlineStr">
        <is>
          <t>logic</t>
        </is>
      </c>
    </row>
    <row r="5">
      <c r="A5" s="10" t="inlineStr">
        <is>
          <t>Target segment spend pool</t>
        </is>
      </c>
      <c r="B5" s="22" t="inlineStr">
        <is>
          <t>derived_estimate</t>
        </is>
      </c>
      <c r="C5" s="7" t="inlineStr">
        <is>
          <t>LC09|LC10|EC06|EC07</t>
        </is>
      </c>
      <c r="D5" s="11" t="n">
        <v>850000000</v>
      </c>
      <c r="E5" s="11" t="n">
        <v>900000000</v>
      </c>
      <c r="F5" s="11" t="n">
        <v>960000000</v>
      </c>
      <c r="G5" s="11" t="n">
        <v>1020000000</v>
      </c>
      <c r="H5" s="11" t="n">
        <v>1080000000</v>
      </c>
      <c r="I5" s="7" t="inlineStr">
        <is>
          <t>Focused segment opportunity in existing markets.</t>
        </is>
      </c>
    </row>
    <row r="6">
      <c r="A6" s="12" t="inlineStr">
        <is>
          <t>Segment penetration</t>
        </is>
      </c>
      <c r="B6" s="23" t="inlineStr">
        <is>
          <t>assumption</t>
        </is>
      </c>
      <c r="C6" s="7" t="inlineStr">
        <is>
          <t>LC09|LC10</t>
        </is>
      </c>
      <c r="D6" s="13" t="n">
        <v>0.01</v>
      </c>
      <c r="E6" s="13" t="n">
        <v>0.018</v>
      </c>
      <c r="F6" s="13" t="n">
        <v>0.028</v>
      </c>
      <c r="G6" s="13" t="n">
        <v>0.038</v>
      </c>
      <c r="H6" s="13" t="n">
        <v>0.05</v>
      </c>
      <c r="I6" s="7" t="inlineStr">
        <is>
          <t>Share capture from sharpened segment focus.</t>
        </is>
      </c>
    </row>
    <row r="7">
      <c r="A7" s="12" t="inlineStr">
        <is>
          <t>Conversion lift factor</t>
        </is>
      </c>
      <c r="B7" s="23" t="inlineStr">
        <is>
          <t>assumption</t>
        </is>
      </c>
      <c r="C7" s="7" t="inlineStr">
        <is>
          <t>EC06|EC07</t>
        </is>
      </c>
      <c r="D7" s="19" t="n">
        <v>1.05</v>
      </c>
      <c r="E7" s="19" t="n">
        <v>1.06</v>
      </c>
      <c r="F7" s="19" t="n">
        <v>1.08</v>
      </c>
      <c r="G7" s="19" t="n">
        <v>1.09</v>
      </c>
      <c r="H7" s="19" t="n">
        <v>1.1</v>
      </c>
      <c r="I7" s="7" t="inlineStr">
        <is>
          <t>Improved conversion from tighter segment relevance.</t>
        </is>
      </c>
    </row>
    <row r="8">
      <c r="A8" s="10" t="inlineStr">
        <is>
          <t>Marketing spend as % of sales</t>
        </is>
      </c>
      <c r="B8" s="22" t="inlineStr">
        <is>
          <t>derived_estimate</t>
        </is>
      </c>
      <c r="C8" s="7" t="inlineStr">
        <is>
          <t>FC02|FC04|FC05|DC01</t>
        </is>
      </c>
      <c r="D8" s="17" t="n">
        <v>0.12</v>
      </c>
      <c r="E8" s="17" t="n">
        <v>0.11</v>
      </c>
      <c r="F8" s="17" t="n">
        <v>0.11</v>
      </c>
      <c r="G8" s="17" t="n">
        <v>0.1</v>
      </c>
      <c r="H8" s="17" t="n">
        <v>0.1</v>
      </c>
      <c r="I8" s="7" t="inlineStr">
        <is>
          <t>Higher early spend to build awareness in the segment, but still inside public peer reinvestment guardrails.</t>
        </is>
      </c>
    </row>
    <row r="9">
      <c r="A9" s="10" t="inlineStr">
        <is>
          <t>Contribution margin before marketing</t>
        </is>
      </c>
      <c r="B9" s="22" t="inlineStr">
        <is>
          <t>derived_estimate</t>
        </is>
      </c>
      <c r="C9" s="7" t="inlineStr">
        <is>
          <t>FC02|FC04|FC05</t>
        </is>
      </c>
      <c r="D9" s="17" t="n">
        <v>0.36</v>
      </c>
      <c r="E9" s="17" t="n">
        <v>0.37</v>
      </c>
      <c r="F9" s="17" t="n">
        <v>0.38</v>
      </c>
      <c r="G9" s="17" t="n">
        <v>0.38</v>
      </c>
      <c r="H9" s="17" t="n">
        <v>0.39</v>
      </c>
      <c r="I9" s="7" t="inlineStr">
        <is>
          <t>Higher contribution from leveraging existing footprint.</t>
        </is>
      </c>
    </row>
    <row r="10">
      <c r="A10" s="12" t="inlineStr">
        <is>
          <t>Assortment adaptation cost</t>
        </is>
      </c>
      <c r="B10" s="23" t="inlineStr">
        <is>
          <t>assumption</t>
        </is>
      </c>
      <c r="C10" s="7" t="inlineStr">
        <is>
          <t>LC09|LC10</t>
        </is>
      </c>
      <c r="D10" s="21" t="n">
        <v>7000000</v>
      </c>
      <c r="E10" s="21" t="n">
        <v>4000000</v>
      </c>
      <c r="F10" s="21" t="n">
        <v>2000000</v>
      </c>
      <c r="G10" s="21" t="n">
        <v>1500000</v>
      </c>
      <c r="H10" s="21" t="n">
        <v>1500000</v>
      </c>
      <c r="I10" s="7" t="inlineStr">
        <is>
          <t>Upfront product, messaging, and channel adaptation.</t>
        </is>
      </c>
    </row>
    <row r="11">
      <c r="A11" s="3" t="inlineStr">
        <is>
          <t>Net sales</t>
        </is>
      </c>
      <c r="B11" s="26" t="inlineStr">
        <is>
          <t>formula</t>
        </is>
      </c>
      <c r="C11" s="26" t="n"/>
      <c r="D11" s="29">
        <f>D5*D6*D7</f>
        <v/>
      </c>
      <c r="E11" s="29">
        <f>E5*E6*E7</f>
        <v/>
      </c>
      <c r="F11" s="29">
        <f>F5*F6*F7</f>
        <v/>
      </c>
      <c r="G11" s="29">
        <f>G5*G6*G7</f>
        <v/>
      </c>
      <c r="H11" s="29">
        <f>H5*H6*H7</f>
        <v/>
      </c>
      <c r="I11" s="26" t="inlineStr">
        <is>
          <t>target_segment_size * segment_penetration * conversion_lift</t>
        </is>
      </c>
    </row>
    <row r="12">
      <c r="A12" s="3" t="inlineStr">
        <is>
          <t>Operating margin %</t>
        </is>
      </c>
      <c r="B12" s="26" t="inlineStr">
        <is>
          <t>formula</t>
        </is>
      </c>
      <c r="C12" s="26" t="n"/>
      <c r="D12" s="31">
        <f>D9-D8</f>
        <v/>
      </c>
      <c r="E12" s="31">
        <f>E9-E8</f>
        <v/>
      </c>
      <c r="F12" s="31">
        <f>F9-F8</f>
        <v/>
      </c>
      <c r="G12" s="31">
        <f>G9-G8</f>
        <v/>
      </c>
      <c r="H12" s="31">
        <f>H9-H8</f>
        <v/>
      </c>
      <c r="I12" s="26" t="inlineStr">
        <is>
          <t>contribution_margin - marketing_spend</t>
        </is>
      </c>
    </row>
    <row r="13">
      <c r="A13" s="3" t="inlineStr">
        <is>
          <t>Operating profit</t>
        </is>
      </c>
      <c r="B13" s="26" t="inlineStr">
        <is>
          <t>formula</t>
        </is>
      </c>
      <c r="C13" s="26" t="n"/>
      <c r="D13" s="29">
        <f>D11*D12-D10</f>
        <v/>
      </c>
      <c r="E13" s="29">
        <f>E11*E12-E10</f>
        <v/>
      </c>
      <c r="F13" s="29">
        <f>F11*F12-F10</f>
        <v/>
      </c>
      <c r="G13" s="29">
        <f>G11*G12-G10</f>
        <v/>
      </c>
      <c r="H13" s="29">
        <f>H11*H12-H10</f>
        <v/>
      </c>
      <c r="I13" s="26" t="inlineStr">
        <is>
          <t>net sales * operating margin - assortment adaptation cost</t>
        </is>
      </c>
    </row>
    <row r="14">
      <c r="A14" s="3" t="inlineStr">
        <is>
          <t>Cumulative profit</t>
        </is>
      </c>
      <c r="B14" s="26" t="inlineStr">
        <is>
          <t>formula</t>
        </is>
      </c>
      <c r="C14" s="26" t="n"/>
      <c r="D14" s="29">
        <f>D13</f>
        <v/>
      </c>
      <c r="E14" s="29">
        <f>D14+E13</f>
        <v/>
      </c>
      <c r="F14" s="29">
        <f>E14+F13</f>
        <v/>
      </c>
      <c r="G14" s="29">
        <f>F14+G13</f>
        <v/>
      </c>
      <c r="H14" s="29">
        <f>G14+H13</f>
        <v/>
      </c>
      <c r="I14" s="26" t="inlineStr">
        <is>
          <t>running cumulative</t>
        </is>
      </c>
    </row>
    <row r="15">
      <c r="A15" s="3" t="inlineStr">
        <is>
          <t>Payback read</t>
        </is>
      </c>
      <c r="D15" s="6">
        <f>IF(D14&gt;=0,1,IF(E14&gt;=0,2,IF(F14&gt;=0,3,IF(G14&gt;=0,4,IF(H14&gt;=0,5,"&gt;5")))))</f>
        <v/>
      </c>
    </row>
    <row r="17">
      <c r="A17" s="3" t="inlineStr">
        <is>
          <t>Top risks</t>
        </is>
      </c>
      <c r="B17" s="7" t="inlineStr">
        <is>
          <t>Top risks: segment overlap with existing buyers, limited upside if product / channel change is too shallow.</t>
        </is>
      </c>
    </row>
  </sheetData>
  <mergeCells count="4">
    <mergeCell ref="A1:I1"/>
    <mergeCell ref="A2:I2"/>
    <mergeCell ref="D15:H15"/>
    <mergeCell ref="B17:I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Scenarios And Sensitivity</t>
        </is>
      </c>
    </row>
    <row r="2">
      <c r="A2" s="2" t="inlineStr">
        <is>
          <t>Base, upside, and pressure outputs for Option 2</t>
        </is>
      </c>
    </row>
    <row r="4">
      <c r="A4" s="5" t="inlineStr">
        <is>
          <t>scenario</t>
        </is>
      </c>
      <c r="B4" s="5" t="inlineStr">
        <is>
          <t>year_5_net_sales</t>
        </is>
      </c>
      <c r="C4" s="5" t="inlineStr">
        <is>
          <t>year_5_gross_margin</t>
        </is>
      </c>
      <c r="D4" s="5" t="inlineStr">
        <is>
          <t>cumulative_cash</t>
        </is>
      </c>
      <c r="E4" s="5" t="inlineStr">
        <is>
          <t>payback_years</t>
        </is>
      </c>
      <c r="F4" s="5" t="inlineStr">
        <is>
          <t>units_multiplier</t>
        </is>
      </c>
      <c r="G4" s="5" t="inlineStr">
        <is>
          <t>bundle_delta</t>
        </is>
      </c>
      <c r="H4" s="5" t="inlineStr">
        <is>
          <t>tariff_delta</t>
        </is>
      </c>
      <c r="I4" s="5" t="inlineStr">
        <is>
          <t>marketing_delta</t>
        </is>
      </c>
    </row>
    <row r="5">
      <c r="A5" s="7" t="inlineStr">
        <is>
          <t>Base</t>
        </is>
      </c>
      <c r="B5" s="33" t="n">
        <v>104044492.8</v>
      </c>
      <c r="C5" s="34" t="n">
        <v>0.5304032628010465</v>
      </c>
      <c r="D5" s="33" t="n">
        <v>45605413.76687999</v>
      </c>
      <c r="E5" s="35" t="n">
        <v>3</v>
      </c>
      <c r="F5" s="34" t="n">
        <v>1</v>
      </c>
      <c r="G5" s="34" t="n">
        <v>0</v>
      </c>
      <c r="H5" s="34" t="n">
        <v>0</v>
      </c>
      <c r="I5" s="34" t="n">
        <v>0</v>
      </c>
    </row>
    <row r="6">
      <c r="A6" s="7" t="inlineStr">
        <is>
          <t>Upside</t>
        </is>
      </c>
      <c r="B6" s="33" t="n">
        <v>123470123.52</v>
      </c>
      <c r="C6" s="34" t="n">
        <v>0.5472293755087677</v>
      </c>
      <c r="D6" s="33" t="n">
        <v>70734693.85790651</v>
      </c>
      <c r="E6" s="35" t="n">
        <v>3</v>
      </c>
      <c r="F6" s="34" t="n">
        <v>1.15</v>
      </c>
      <c r="G6" s="34" t="n">
        <v>0.03</v>
      </c>
      <c r="H6" s="34" t="n">
        <v>-0.01</v>
      </c>
      <c r="I6" s="34" t="n">
        <v>-0.01</v>
      </c>
    </row>
    <row r="7">
      <c r="A7" s="7" t="inlineStr">
        <is>
          <t>Pressure</t>
        </is>
      </c>
      <c r="B7" s="33" t="n">
        <v>88636821.50399999</v>
      </c>
      <c r="C7" s="34" t="n">
        <v>0.5055058805170034</v>
      </c>
      <c r="D7" s="33" t="n">
        <v>22879504.50331158</v>
      </c>
      <c r="E7" s="35" t="n">
        <v>4</v>
      </c>
      <c r="F7" s="34" t="n">
        <v>0.88</v>
      </c>
      <c r="G7" s="34" t="n">
        <v>-0.03</v>
      </c>
      <c r="H7" s="34" t="n">
        <v>0.02</v>
      </c>
      <c r="I7" s="34" t="n">
        <v>0.01</v>
      </c>
    </row>
    <row r="10">
      <c r="A10" s="5" t="inlineStr">
        <is>
          <t>sensitivity_test</t>
        </is>
      </c>
      <c r="B10" s="5" t="inlineStr">
        <is>
          <t>cumulative_cash</t>
        </is>
      </c>
      <c r="C10" s="5" t="inlineStr">
        <is>
          <t>delta_vs_base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7" t="inlineStr">
        <is>
          <t>Units per SKU +10%</t>
        </is>
      </c>
      <c r="B11" s="33" t="n">
        <v>53015955.14356799</v>
      </c>
      <c r="C11" s="33" t="n">
        <v>7410541.376688004</v>
      </c>
    </row>
    <row r="12">
      <c r="A12" s="7" t="inlineStr">
        <is>
          <t>Unit COGS -5%</t>
        </is>
      </c>
      <c r="B12" s="33" t="n">
        <v>50842308.35287999</v>
      </c>
      <c r="C12" s="33" t="n">
        <v>5236894.586000003</v>
      </c>
    </row>
    <row r="13">
      <c r="A13" s="7" t="inlineStr">
        <is>
          <t>Tariff load -1.5pp</t>
        </is>
      </c>
      <c r="B13" s="33" t="n">
        <v>47122285.64687999</v>
      </c>
      <c r="C13" s="33" t="n">
        <v>1516871.880000003</v>
      </c>
    </row>
    <row r="14">
      <c r="A14" s="7" t="inlineStr">
        <is>
          <t>Bundle penetration +3pp</t>
        </is>
      </c>
      <c r="B14" s="33" t="n">
        <v>45609190.53737999</v>
      </c>
      <c r="C14" s="33" t="n">
        <v>3776.770500004292</v>
      </c>
    </row>
    <row r="15">
      <c r="A15" s="7" t="inlineStr">
        <is>
          <t>Bundle penetration -3pp</t>
        </is>
      </c>
      <c r="B15" s="33" t="n">
        <v>45601636.99637999</v>
      </c>
      <c r="C15" s="33" t="n">
        <v>-3776.770500004292</v>
      </c>
    </row>
    <row r="16">
      <c r="A16" s="7" t="inlineStr">
        <is>
          <t>Tariff load +1.5pp</t>
        </is>
      </c>
      <c r="B16" s="33" t="n">
        <v>44088541.88688</v>
      </c>
      <c r="C16" s="33" t="n">
        <v>-1516871.879999995</v>
      </c>
    </row>
    <row r="17">
      <c r="A17" s="7" t="inlineStr">
        <is>
          <t>DTC mix -5.0pp</t>
        </is>
      </c>
      <c r="B17" s="33" t="n">
        <v>42681337.41880499</v>
      </c>
      <c r="C17" s="33" t="n">
        <v>-2924076.348075002</v>
      </c>
    </row>
    <row r="18">
      <c r="A18" s="7" t="inlineStr">
        <is>
          <t>Unit COGS +5%</t>
        </is>
      </c>
      <c r="B18" s="33" t="n">
        <v>40368519.18088</v>
      </c>
      <c r="C18" s="33" t="n">
        <v>-5236894.585999995</v>
      </c>
    </row>
    <row r="19">
      <c r="A19" s="7" t="inlineStr">
        <is>
          <t>Inventory support +2.0pp</t>
        </is>
      </c>
      <c r="B19" s="33" t="n">
        <v>39871923.95007999</v>
      </c>
      <c r="C19" s="33" t="n">
        <v>-5733489.816799998</v>
      </c>
    </row>
    <row r="20">
      <c r="A20" s="7" t="inlineStr">
        <is>
          <t>Units per SKU -10%</t>
        </is>
      </c>
      <c r="B20" s="33" t="n">
        <v>38194872.390192</v>
      </c>
      <c r="C20" s="33" t="n">
        <v>-7410541.376687989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Judge Output Tables</t>
        </is>
      </c>
    </row>
    <row r="2">
      <c r="A2" s="2" t="inlineStr">
        <is>
          <t>Directly usable finance tables for slides, appendix, and Q&amp;A</t>
        </is>
      </c>
    </row>
    <row r="4">
      <c r="A4" s="5" t="inlineStr">
        <is>
          <t>option</t>
        </is>
      </c>
      <c r="B4" s="5" t="inlineStr">
        <is>
          <t>year_5_sales</t>
        </is>
      </c>
      <c r="C4" s="5" t="inlineStr">
        <is>
          <t>headline_margin</t>
        </is>
      </c>
      <c r="D4" s="5" t="inlineStr">
        <is>
          <t>upfront_investment</t>
        </is>
      </c>
      <c r="E4" s="5" t="inlineStr">
        <is>
          <t>cumulative_cash</t>
        </is>
      </c>
      <c r="F4" s="5" t="inlineStr">
        <is>
          <t>payback</t>
        </is>
      </c>
      <c r="G4" s="5" t="inlineStr">
        <is>
          <t>financial_read</t>
        </is>
      </c>
      <c r="H4" s="5" t="inlineStr"/>
      <c r="I4" s="5" t="inlineStr"/>
    </row>
    <row r="5">
      <c r="A5" s="7" t="inlineStr">
        <is>
          <t>Option 2</t>
        </is>
      </c>
      <c r="B5" s="33" t="n">
        <v>104044492.8</v>
      </c>
      <c r="C5" s="34" t="n">
        <v>0.5304032628010465</v>
      </c>
      <c r="D5" s="33" t="n">
        <v>11000000</v>
      </c>
      <c r="E5" s="33" t="n">
        <v>45605413.76687999</v>
      </c>
      <c r="F5" s="35" t="n">
        <v>3</v>
      </c>
      <c r="G5" s="7" t="inlineStr">
        <is>
          <t>Best mix of growth, margin resilience, and controllable execution.</t>
        </is>
      </c>
    </row>
    <row r="6">
      <c r="A6" s="7" t="inlineStr">
        <is>
          <t>Option 1</t>
        </is>
      </c>
      <c r="B6" s="33" t="n">
        <v>81712800</v>
      </c>
      <c r="C6" s="34" t="n">
        <v>0.2</v>
      </c>
      <c r="D6" s="33" t="n">
        <v>18000000</v>
      </c>
      <c r="E6" s="33" t="n">
        <v>-10492352</v>
      </c>
      <c r="F6" s="35" t="inlineStr">
        <is>
          <t>&gt;5</t>
        </is>
      </c>
      <c r="G6" s="7" t="inlineStr">
        <is>
          <t>Large TAM but heavy entry cost and slower payback.</t>
        </is>
      </c>
    </row>
    <row r="7">
      <c r="A7" s="7" t="inlineStr">
        <is>
          <t>Option 3</t>
        </is>
      </c>
      <c r="B7" s="33" t="n">
        <v>59400000.00000001</v>
      </c>
      <c r="C7" s="34" t="n">
        <v>0.29</v>
      </c>
      <c r="D7" s="33" t="n">
        <v>7000000</v>
      </c>
      <c r="E7" s="33" t="n">
        <v>27500480.00000001</v>
      </c>
      <c r="F7" s="35" t="n">
        <v>3</v>
      </c>
      <c r="G7" s="7" t="inlineStr">
        <is>
          <t>Faster to test, but lower ceiling and weaker portfolio diversification.</t>
        </is>
      </c>
    </row>
    <row r="10">
      <c r="A10" s="5" t="inlineStr">
        <is>
          <t>metric</t>
        </is>
      </c>
      <c r="B10" s="5" t="inlineStr">
        <is>
          <t>base</t>
        </is>
      </c>
      <c r="C10" s="5" t="inlineStr">
        <is>
          <t>upside</t>
        </is>
      </c>
      <c r="D10" s="5" t="inlineStr">
        <is>
          <t>pressure</t>
        </is>
      </c>
      <c r="E10" s="5" t="inlineStr"/>
      <c r="F10" s="5" t="inlineStr"/>
      <c r="G10" s="5" t="inlineStr"/>
      <c r="H10" s="5" t="inlineStr"/>
      <c r="I10" s="5" t="inlineStr"/>
    </row>
    <row r="11">
      <c r="A11" s="3" t="inlineStr">
        <is>
          <t>Year 5 net sales</t>
        </is>
      </c>
      <c r="B11" s="33" t="n">
        <v>104044492.8</v>
      </c>
      <c r="C11" s="33" t="n">
        <v>123470123.52</v>
      </c>
      <c r="D11" s="33" t="n">
        <v>88636821.50399999</v>
      </c>
    </row>
    <row r="12">
      <c r="A12" s="3" t="inlineStr">
        <is>
          <t>Year 5 gross margin</t>
        </is>
      </c>
      <c r="B12" s="34" t="n">
        <v>0.5304032628010465</v>
      </c>
      <c r="C12" s="34" t="n">
        <v>0.5472293755087677</v>
      </c>
      <c r="D12" s="34" t="n">
        <v>0.5055058805170034</v>
      </c>
    </row>
    <row r="13">
      <c r="A13" s="3" t="inlineStr">
        <is>
          <t>5-year cumulative cash</t>
        </is>
      </c>
      <c r="B13" s="33" t="n">
        <v>45605413.76687999</v>
      </c>
      <c r="C13" s="33" t="n">
        <v>70734693.85790651</v>
      </c>
      <c r="D13" s="33" t="n">
        <v>22879504.50331158</v>
      </c>
    </row>
    <row r="14">
      <c r="A14" s="3" t="inlineStr">
        <is>
          <t>Payback years</t>
        </is>
      </c>
      <c r="B14" s="35" t="n">
        <v>3</v>
      </c>
      <c r="C14" s="35" t="n">
        <v>3</v>
      </c>
      <c r="D14" s="35" t="n">
        <v>4</v>
      </c>
    </row>
    <row r="17">
      <c r="A17" s="5" t="inlineStr">
        <is>
          <t>first_year_kpi</t>
        </is>
      </c>
      <c r="B17" s="5" t="inlineStr">
        <is>
          <t>why_it_matters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>
      <c r="A18" s="7" t="inlineStr">
        <is>
          <t>sell_through_rate</t>
        </is>
      </c>
      <c r="B18" s="7" t="inlineStr">
        <is>
          <t>Tests whether the line is resonating beyond initial hype.</t>
        </is>
      </c>
    </row>
    <row r="19">
      <c r="A19" s="7" t="inlineStr">
        <is>
          <t>bundle_attach_rate</t>
        </is>
      </c>
      <c r="B19" s="7" t="inlineStr">
        <is>
          <t>Proves system behavior rather than single-SKU novelty.</t>
        </is>
      </c>
    </row>
    <row r="20">
      <c r="A20" s="7" t="inlineStr">
        <is>
          <t>gross_margin</t>
        </is>
      </c>
      <c r="B20" s="7" t="inlineStr">
        <is>
          <t>Confirms premium pricing is surviving cost reality.</t>
        </is>
      </c>
    </row>
    <row r="21">
      <c r="A21" s="7" t="inlineStr">
        <is>
          <t>return_rate</t>
        </is>
      </c>
      <c r="B21" s="7" t="inlineStr">
        <is>
          <t>Flags product-market fit or quality problems early.</t>
        </is>
      </c>
    </row>
    <row r="22">
      <c r="A22" s="7" t="inlineStr">
        <is>
          <t>repeat_rate</t>
        </is>
      </c>
      <c r="B22" s="7" t="inlineStr">
        <is>
          <t>Shows whether the platform can become a habit and not a fad.</t>
        </is>
      </c>
    </row>
    <row r="23">
      <c r="A23" s="7" t="inlineStr">
        <is>
          <t>dtc_mix</t>
        </is>
      </c>
      <c r="B23" s="7" t="inlineStr">
        <is>
          <t>Helps explain pricing quality and customer learning speed.</t>
        </is>
      </c>
    </row>
  </sheetData>
  <mergeCells count="8">
    <mergeCell ref="B18:I18"/>
    <mergeCell ref="B21:I21"/>
    <mergeCell ref="A2:I2"/>
    <mergeCell ref="B20:I20"/>
    <mergeCell ref="A1:I1"/>
    <mergeCell ref="B19:I19"/>
    <mergeCell ref="B22:I22"/>
    <mergeCell ref="B23:I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>
      <c r="A1" s="1" t="inlineStr">
        <is>
          <t>QR HTML Export Tables</t>
        </is>
      </c>
    </row>
    <row r="2">
      <c r="A2" s="2" t="inlineStr">
        <is>
          <t>Values mirrored into the self-contained finance appendix HTML</t>
        </is>
      </c>
    </row>
    <row r="4">
      <c r="A4" s="5" t="inlineStr">
        <is>
          <t>metric</t>
        </is>
      </c>
      <c r="B4" s="5" t="inlineStr">
        <is>
          <t>year_1</t>
        </is>
      </c>
      <c r="C4" s="5" t="inlineStr">
        <is>
          <t>year_2</t>
        </is>
      </c>
      <c r="D4" s="5" t="inlineStr">
        <is>
          <t>year_3</t>
        </is>
      </c>
      <c r="E4" s="5" t="inlineStr">
        <is>
          <t>year_4</t>
        </is>
      </c>
      <c r="F4" s="5" t="inlineStr">
        <is>
          <t>year_5</t>
        </is>
      </c>
      <c r="G4" s="5" t="inlineStr">
        <is>
          <t>type</t>
        </is>
      </c>
      <c r="H4" s="5" t="inlineStr">
        <is>
          <t>source</t>
        </is>
      </c>
      <c r="I4" s="5" t="inlineStr">
        <is>
          <t>notes</t>
        </is>
      </c>
    </row>
    <row r="5">
      <c r="A5" s="3" t="inlineStr">
        <is>
          <t>option_2_net_sales</t>
        </is>
      </c>
      <c r="B5" s="33" t="n">
        <v>9403763.040000001</v>
      </c>
      <c r="C5" s="33" t="n">
        <v>34093840</v>
      </c>
      <c r="D5" s="33" t="n">
        <v>59356440</v>
      </c>
      <c r="E5" s="33" t="n">
        <v>79775955</v>
      </c>
      <c r="F5" s="33" t="n">
        <v>104044492.8</v>
      </c>
      <c r="G5" s="35" t="inlineStr">
        <is>
          <t>currency</t>
        </is>
      </c>
      <c r="H5" s="7" t="inlineStr">
        <is>
          <t>04_option_2_revenue_build</t>
        </is>
      </c>
      <c r="I5" s="7" t="inlineStr">
        <is>
          <t>Base case revenue</t>
        </is>
      </c>
    </row>
    <row r="6">
      <c r="A6" s="3" t="inlineStr">
        <is>
          <t>option_2_gross_margin</t>
        </is>
      </c>
      <c r="B6" s="34" t="n">
        <v>0.5503471522608677</v>
      </c>
      <c r="C6" s="34" t="n">
        <v>0.546919701623519</v>
      </c>
      <c r="D6" s="34" t="n">
        <v>0.543192830297774</v>
      </c>
      <c r="E6" s="34" t="n">
        <v>0.5377317073170732</v>
      </c>
      <c r="F6" s="34" t="n">
        <v>0.5304032628010465</v>
      </c>
      <c r="G6" s="35" t="inlineStr">
        <is>
          <t>percent</t>
        </is>
      </c>
      <c r="H6" s="7" t="inlineStr">
        <is>
          <t>05_option_2_cost_build</t>
        </is>
      </c>
      <c r="I6" s="7" t="inlineStr">
        <is>
          <t>Base case margin</t>
        </is>
      </c>
    </row>
    <row r="7">
      <c r="A7" s="3" t="inlineStr">
        <is>
          <t>option_2_operating_profit</t>
        </is>
      </c>
      <c r="B7" s="33" t="n">
        <v>-4893493.6592</v>
      </c>
      <c r="C7" s="33" t="n">
        <v>7316417.199999997</v>
      </c>
      <c r="D7" s="33" t="n">
        <v>16658427.36</v>
      </c>
      <c r="E7" s="33" t="n">
        <v>24703541.62</v>
      </c>
      <c r="F7" s="33" t="n">
        <v>31960461.92639999</v>
      </c>
      <c r="G7" s="35" t="inlineStr">
        <is>
          <t>currency</t>
        </is>
      </c>
      <c r="H7" s="7" t="inlineStr">
        <is>
          <t>05_option_2_cost_build</t>
        </is>
      </c>
      <c r="I7" s="7" t="inlineStr">
        <is>
          <t>Base case operating uplift</t>
        </is>
      </c>
    </row>
    <row r="8">
      <c r="A8" s="3" t="inlineStr">
        <is>
          <t>option_2_dtc_mix</t>
        </is>
      </c>
      <c r="B8" s="34" t="n">
        <v>0.52</v>
      </c>
      <c r="C8" s="34" t="n">
        <v>0.48</v>
      </c>
      <c r="D8" s="34" t="n">
        <v>0.44</v>
      </c>
      <c r="E8" s="34" t="n">
        <v>0.4</v>
      </c>
      <c r="F8" s="34" t="n">
        <v>0.38</v>
      </c>
      <c r="G8" s="35" t="inlineStr">
        <is>
          <t>percent</t>
        </is>
      </c>
      <c r="H8" s="7" t="inlineStr">
        <is>
          <t>04_option_2_revenue_build</t>
        </is>
      </c>
      <c r="I8" s="7" t="inlineStr">
        <is>
          <t>Channel-mix guardrail</t>
        </is>
      </c>
    </row>
    <row r="9">
      <c r="A9" s="3" t="inlineStr">
        <is>
          <t>option_2_working_capital</t>
        </is>
      </c>
      <c r="B9" s="33" t="n">
        <v>733493.51712</v>
      </c>
      <c r="C9" s="33" t="n">
        <v>2591131.84</v>
      </c>
      <c r="D9" s="33" t="n">
        <v>4392376.56</v>
      </c>
      <c r="E9" s="33" t="n">
        <v>5743868.760000002</v>
      </c>
      <c r="F9" s="33" t="n">
        <v>7179070.003200001</v>
      </c>
      <c r="G9" s="35" t="inlineStr">
        <is>
          <t>currency</t>
        </is>
      </c>
      <c r="H9" s="7" t="inlineStr">
        <is>
          <t>05_option_2_cost_build</t>
        </is>
      </c>
      <c r="I9" s="7" t="inlineStr">
        <is>
          <t>Explicit working-capital support</t>
        </is>
      </c>
    </row>
    <row r="10">
      <c r="A10" s="3" t="inlineStr">
        <is>
          <t>option_2_inventory_support</t>
        </is>
      </c>
      <c r="B10" s="33" t="n">
        <v>940376.3040000001</v>
      </c>
      <c r="C10" s="33" t="n">
        <v>3341196.32</v>
      </c>
      <c r="D10" s="33" t="n">
        <v>5638861.8</v>
      </c>
      <c r="E10" s="33" t="n">
        <v>7419163.815</v>
      </c>
      <c r="F10" s="33" t="n">
        <v>9364004.352</v>
      </c>
      <c r="G10" s="35" t="inlineStr">
        <is>
          <t>currency</t>
        </is>
      </c>
      <c r="H10" s="7" t="inlineStr">
        <is>
          <t>05_option_2_cost_build</t>
        </is>
      </c>
      <c r="I10" s="7" t="inlineStr">
        <is>
          <t>Inventory support component</t>
        </is>
      </c>
    </row>
    <row r="11">
      <c r="A11" s="3" t="inlineStr">
        <is>
          <t>option_1_net_sales</t>
        </is>
      </c>
      <c r="B11" s="33" t="n">
        <v>6156000</v>
      </c>
      <c r="C11" s="33" t="n">
        <v>16416000</v>
      </c>
      <c r="D11" s="33" t="n">
        <v>30412800</v>
      </c>
      <c r="E11" s="33" t="n">
        <v>49766400</v>
      </c>
      <c r="F11" s="33" t="n">
        <v>81712800</v>
      </c>
      <c r="G11" s="35" t="inlineStr">
        <is>
          <t>currency</t>
        </is>
      </c>
      <c r="H11" s="7" t="inlineStr">
        <is>
          <t>07_option_1_light_case</t>
        </is>
      </c>
      <c r="I11" s="7" t="inlineStr">
        <is>
          <t>Light-case revenue</t>
        </is>
      </c>
    </row>
    <row r="12">
      <c r="A12" s="3" t="inlineStr">
        <is>
          <t>option_3_net_sales</t>
        </is>
      </c>
      <c r="B12" s="33" t="n">
        <v>8925000</v>
      </c>
      <c r="C12" s="33" t="n">
        <v>17172000</v>
      </c>
      <c r="D12" s="33" t="n">
        <v>29030400</v>
      </c>
      <c r="E12" s="33" t="n">
        <v>42248400</v>
      </c>
      <c r="F12" s="33" t="n">
        <v>59400000.00000001</v>
      </c>
      <c r="G12" s="35" t="inlineStr">
        <is>
          <t>currency</t>
        </is>
      </c>
      <c r="H12" s="7" t="inlineStr">
        <is>
          <t>08_option_3_light_case</t>
        </is>
      </c>
      <c r="I12" s="7" t="inlineStr">
        <is>
          <t>Light-case revenue</t>
        </is>
      </c>
    </row>
    <row r="15">
      <c r="A15" s="5" t="inlineStr">
        <is>
          <t>scenario</t>
        </is>
      </c>
      <c r="B15" s="5" t="inlineStr">
        <is>
          <t>year_5_net_sales</t>
        </is>
      </c>
      <c r="C15" s="5" t="inlineStr">
        <is>
          <t>year_5_gross_margin</t>
        </is>
      </c>
      <c r="D15" s="5" t="inlineStr">
        <is>
          <t>cumulative_cash</t>
        </is>
      </c>
      <c r="E15" s="5" t="inlineStr">
        <is>
          <t>payback_years</t>
        </is>
      </c>
      <c r="F15" s="5" t="inlineStr"/>
      <c r="G15" s="5" t="inlineStr"/>
      <c r="H15" s="5" t="inlineStr"/>
      <c r="I15" s="5" t="inlineStr"/>
    </row>
    <row r="16">
      <c r="A16" s="7" t="inlineStr">
        <is>
          <t>Base</t>
        </is>
      </c>
      <c r="B16" s="33" t="n">
        <v>104044492.8</v>
      </c>
      <c r="C16" s="34" t="n">
        <v>0.5304032628010465</v>
      </c>
      <c r="D16" s="33" t="n">
        <v>45605413.76687999</v>
      </c>
      <c r="E16" s="35" t="n">
        <v>3</v>
      </c>
    </row>
    <row r="17">
      <c r="A17" s="7" t="inlineStr">
        <is>
          <t>Upside</t>
        </is>
      </c>
      <c r="B17" s="33" t="n">
        <v>123470123.52</v>
      </c>
      <c r="C17" s="34" t="n">
        <v>0.5472293755087677</v>
      </c>
      <c r="D17" s="33" t="n">
        <v>70734693.85790651</v>
      </c>
      <c r="E17" s="35" t="n">
        <v>3</v>
      </c>
    </row>
    <row r="18">
      <c r="A18" s="7" t="inlineStr">
        <is>
          <t>Pressure</t>
        </is>
      </c>
      <c r="B18" s="33" t="n">
        <v>88636821.50399999</v>
      </c>
      <c r="C18" s="34" t="n">
        <v>0.5055058805170034</v>
      </c>
      <c r="D18" s="33" t="n">
        <v>22879504.50331158</v>
      </c>
      <c r="E18" s="35" t="n">
        <v>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2026-04-07T21:48:30Z</dcterms:created>
  <dcterms:modified xmlns:dcterms="http://purl.org/dc/terms/" xmlns:xsi="http://www.w3.org/2001/XMLSchema-instance" xsi:type="dcterms:W3CDTF">2026-04-07T21:48:30Z</dcterms:modified>
</cp:coreProperties>
</file>